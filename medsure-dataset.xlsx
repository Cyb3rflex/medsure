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verify" sheetId="1" state="visible" r:id="rId3"/>
    <sheet name="Medicines" sheetId="2" state="visible" r:id="rId4"/>
    <sheet name="Interactions" sheetId="3" state="visible" r:id="rId5"/>
  </sheets>
  <definedNames>
    <definedName function="false" hidden="true" localSheetId="1" name="_xlnm._FilterDatabase" vbProcedure="false">Medicines!$A$1:$Q$44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<sst xmlns="http://schemas.openxmlformats.org/spreadsheetml/2006/main" count="636" uniqueCount="379">
  <si>
    <t xml:space="preserve">MedSure reference dataset (DRAFT)</t>
  </si>
  <si>
    <t xml:space="preserve">Status</t>
  </si>
  <si>
    <t xml:space="preserve">Medicines listed</t>
  </si>
  <si>
    <t xml:space="preserve">Medicines verified</t>
  </si>
  <si>
    <t xml:space="preserve">Interaction rules</t>
  </si>
  <si>
    <t xml:space="preserve">What to do</t>
  </si>
  <si>
    <t xml:space="preserve">1</t>
  </si>
  <si>
    <t xml:space="preserve">Check every row of the Medicines sheet against the BNF, the WHO Model Formulary or the product leaflet. Fix anything wrong.</t>
  </si>
  <si>
    <t xml:space="preserve">2</t>
  </si>
  <si>
    <t xml:space="preserve">Yellow columns are for you to fill in: NAFDAC numbers from the packs you will demo (confirm each on the NAFDAC product register), who checked it, and notes.</t>
  </si>
  <si>
    <t xml:space="preserve">3</t>
  </si>
  <si>
    <t xml:space="preserve">Set 'Verified' to Yes only after a pharmacist or pharmacy lecturer has reviewed the row.</t>
  </si>
  <si>
    <t xml:space="preserve">4</t>
  </si>
  <si>
    <t xml:space="preserve">'Example brands' are well-known names to help matching; confirm they are sold in Nigeria and add local brands you find.</t>
  </si>
  <si>
    <t xml:space="preserve">5</t>
  </si>
  <si>
    <t xml:space="preserve">'Prescription only' follows common practice; confirm Nigerian classification with a pharmacist.</t>
  </si>
  <si>
    <t xml:space="preserve">6</t>
  </si>
  <si>
    <t xml:space="preserve">Doses are deliberately NOT included. The app tells users to follow the leaflet or their pharmacist.</t>
  </si>
  <si>
    <t xml:space="preserve">7</t>
  </si>
  <si>
    <t xml:space="preserve">Check the Interactions sheet the same way. 'group:nsaid' means any medicine whose Groups column contains nsaid.</t>
  </si>
  <si>
    <t xml:space="preserve">Legend</t>
  </si>
  <si>
    <t xml:space="preserve">Yellow cells</t>
  </si>
  <si>
    <t xml:space="preserve">Columns for you to fill in.</t>
  </si>
  <si>
    <t xml:space="preserve">Groups</t>
  </si>
  <si>
    <t xml:space="preserve">nsaid, antimalarial, sedating, sulfonamide: used to spot duplicate or risky combinations.</t>
  </si>
  <si>
    <t xml:space="preserve">ID</t>
  </si>
  <si>
    <t xml:space="preserve">Medicine</t>
  </si>
  <si>
    <t xml:space="preserve">Other names (for matching)</t>
  </si>
  <si>
    <t xml:space="preserve">Active ingredients</t>
  </si>
  <si>
    <t xml:space="preserve">Class</t>
  </si>
  <si>
    <t xml:space="preserve">Prescription only</t>
  </si>
  <si>
    <t xml:space="preserve">Uses</t>
  </si>
  <si>
    <t xml:space="preserve">Key warnings</t>
  </si>
  <si>
    <t xml:space="preserve">Children</t>
  </si>
  <si>
    <t xml:space="preserve">Pregnancy / breastfeeding</t>
  </si>
  <si>
    <t xml:space="preserve">Example brands (verify)</t>
  </si>
  <si>
    <t xml:space="preserve">NAFDAC numbers</t>
  </si>
  <si>
    <t xml:space="preserve">Checked by</t>
  </si>
  <si>
    <t xml:space="preserve">Reference used</t>
  </si>
  <si>
    <t xml:space="preserve">Verified</t>
  </si>
  <si>
    <t xml:space="preserve">Notes</t>
  </si>
  <si>
    <t xml:space="preserve">paracetamol</t>
  </si>
  <si>
    <t xml:space="preserve">Paracetamol</t>
  </si>
  <si>
    <t xml:space="preserve">paracetamol; acetaminophen</t>
  </si>
  <si>
    <t xml:space="preserve">Pain and fever relief (analgesic)</t>
  </si>
  <si>
    <t xml:space="preserve">No</t>
  </si>
  <si>
    <t xml:space="preserve">Mild to moderate pain such as headache or body pain, and fever.</t>
  </si>
  <si>
    <t xml:space="preserve">• Do not take with any other medicine that also contains paracetamol.
• Never take more than the maximum daily amount on the leaflet: too much can seriously damage the liver.
• Take extra care if you drink alcohol regularly or have liver disease.</t>
  </si>
  <si>
    <t xml:space="preserve">Children's products and doses are different: use a children's formulation and check the dose for age and weight.</t>
  </si>
  <si>
    <t xml:space="preserve">Generally considered suitable in pregnancy at normal doses, but check with a pharmacist.</t>
  </si>
  <si>
    <t xml:space="preserve">Panadol; Emzor Paracetamol</t>
  </si>
  <si>
    <t xml:space="preserve">paracetamol_caffeine</t>
  </si>
  <si>
    <t xml:space="preserve">Paracetamol with caffeine</t>
  </si>
  <si>
    <t xml:space="preserve">paracetamol and caffeine; paracetamol caffeine; paracetamol/caffeine; paracetamol + caffeine</t>
  </si>
  <si>
    <t xml:space="preserve">paracetamol; caffeine</t>
  </si>
  <si>
    <t xml:space="preserve">Pain relief (combination)</t>
  </si>
  <si>
    <t xml:space="preserve">Headache and other mild to moderate pain.</t>
  </si>
  <si>
    <t xml:space="preserve">• Contains paracetamol: do not take with any other paracetamol product.
• Limit tea, coffee and energy drinks: too much caffeine can cause shakiness and poor sleep.</t>
  </si>
  <si>
    <t xml:space="preserve">Not usually for children under 12.</t>
  </si>
  <si>
    <t xml:space="preserve">Ask a pharmacist or doctor before use in pregnancy or breastfeeding.</t>
  </si>
  <si>
    <t xml:space="preserve">Panadol Extra</t>
  </si>
  <si>
    <t xml:space="preserve">ibuprofen</t>
  </si>
  <si>
    <t xml:space="preserve">Ibuprofen</t>
  </si>
  <si>
    <t xml:space="preserve">Anti-inflammatory pain relief (NSAID)</t>
  </si>
  <si>
    <t xml:space="preserve">nsaid</t>
  </si>
  <si>
    <t xml:space="preserve">Pain, inflammation (swelling) and fever.</t>
  </si>
  <si>
    <t xml:space="preserve">• Take with or after food.
• Do not combine with other anti-inflammatory painkillers.
• Avoid if you have stomach ulcers, kidney problems or asthma made worse by painkillers.</t>
  </si>
  <si>
    <t xml:space="preserve">Children's products and doses are different: check the dose for age and weight.</t>
  </si>
  <si>
    <t xml:space="preserve">Avoid in pregnancy, especially the last three months, unless a doctor advises.</t>
  </si>
  <si>
    <t xml:space="preserve">Brufen</t>
  </si>
  <si>
    <t xml:space="preserve">diclofenac</t>
  </si>
  <si>
    <t xml:space="preserve">Diclofenac</t>
  </si>
  <si>
    <t xml:space="preserve">Pain and inflammation, for example joint, back or muscle pain.</t>
  </si>
  <si>
    <t xml:space="preserve">• Take with or after food.
• Do not combine with other anti-inflammatory painkillers.
• Avoid with stomach ulcers, heart disease or kidney problems unless a health professional advises.</t>
  </si>
  <si>
    <t xml:space="preserve">Not usually for children without a doctor's advice.</t>
  </si>
  <si>
    <t xml:space="preserve">Voltaren</t>
  </si>
  <si>
    <t xml:space="preserve">naproxen</t>
  </si>
  <si>
    <t xml:space="preserve">Naproxen</t>
  </si>
  <si>
    <t xml:space="preserve">Pain and inflammation, including period pain and joint pain.</t>
  </si>
  <si>
    <t xml:space="preserve">• Take with or after food.
• Do not combine with other anti-inflammatory painkillers.
• Avoid with stomach ulcers or kidney problems unless a health professional advises.</t>
  </si>
  <si>
    <t xml:space="preserve">aspirin</t>
  </si>
  <si>
    <t xml:space="preserve">Aspirin</t>
  </si>
  <si>
    <t xml:space="preserve">aspirin; acetylsalicylic acid</t>
  </si>
  <si>
    <t xml:space="preserve">Pain relief (NSAID)</t>
  </si>
  <si>
    <t xml:space="preserve">Pain and fever in adults. Low doses are sometimes prescribed for the heart.</t>
  </si>
  <si>
    <t xml:space="preserve">• Not for children under 16 unless a doctor says so.
• Do not combine with other anti-inflammatory painkillers.
• Increases bleeding risk; avoid with stomach ulcers.</t>
  </si>
  <si>
    <t xml:space="preserve">Do not give to children under 16 unless a doctor prescribes it.</t>
  </si>
  <si>
    <t xml:space="preserve">tramadol</t>
  </si>
  <si>
    <t xml:space="preserve">Tramadol</t>
  </si>
  <si>
    <t xml:space="preserve">Opioid pain relief (controlled medicine)</t>
  </si>
  <si>
    <t xml:space="preserve">sedating</t>
  </si>
  <si>
    <t xml:space="preserve">Yes</t>
  </si>
  <si>
    <t xml:space="preserve">Moderate to severe pain, only when prescribed.</t>
  </si>
  <si>
    <t xml:space="preserve">• Prescription only and controlled: it can cause dependence and is widely misused.
• Causes drowsiness: do not drive, and avoid alcohol.
• Do not take with other medicines that cause drowsiness unless a doctor agrees.</t>
  </si>
  <si>
    <t xml:space="preserve">Not for children.</t>
  </si>
  <si>
    <t xml:space="preserve">Avoid in pregnancy unless a doctor advises.</t>
  </si>
  <si>
    <t xml:space="preserve">artemether_lumefantrine</t>
  </si>
  <si>
    <t xml:space="preserve">Artemether-lumefantrine</t>
  </si>
  <si>
    <t xml:space="preserve">artemether-lumefantrine; artemether lumefantrine; artemether/lumefantrine; artemether and lumefantrine; artemether + lumefantrine</t>
  </si>
  <si>
    <t xml:space="preserve">artemether; lumefantrine</t>
  </si>
  <si>
    <t xml:space="preserve">Antimalarial (ACT)</t>
  </si>
  <si>
    <t xml:space="preserve">antimalarial</t>
  </si>
  <si>
    <t xml:space="preserve">Treatment of uncomplicated malaria.</t>
  </si>
  <si>
    <t xml:space="preserve">• Take with food or milk to help it work.
• Finish the full course even if you feel better.
• Ideally confirm malaria with a test first. Seek care urgently if symptoms are severe or do not improve.</t>
  </si>
  <si>
    <t xml:space="preserve">Doses for children depend on weight: check with a pharmacist.</t>
  </si>
  <si>
    <t xml:space="preserve">Use in pregnancy only as directed by a health worker.</t>
  </si>
  <si>
    <t xml:space="preserve">Coartem; Lonart</t>
  </si>
  <si>
    <t xml:space="preserve">artesunate_amodiaquine</t>
  </si>
  <si>
    <t xml:space="preserve">Artesunate-amodiaquine</t>
  </si>
  <si>
    <t xml:space="preserve">artesunate-amodiaquine; artesunate amodiaquine; artesunate/amodiaquine; artesunate and amodiaquine; amodiaquine and artesunate; amodiaquine artesunate</t>
  </si>
  <si>
    <t xml:space="preserve">artesunate; amodiaquine</t>
  </si>
  <si>
    <t xml:space="preserve">• Finish the full course even if you feel better.
• Do not take with other antimalarial treatments.
• Ideally confirm malaria with a test first. Seek care urgently if symptoms are severe or do not improve.</t>
  </si>
  <si>
    <t xml:space="preserve">Doses for children depend on age or weight: check with a pharmacist.</t>
  </si>
  <si>
    <t xml:space="preserve">Camosunate</t>
  </si>
  <si>
    <t xml:space="preserve">dihydroartemisinin_piperaquine</t>
  </si>
  <si>
    <t xml:space="preserve">Dihydroartemisinin-piperaquine</t>
  </si>
  <si>
    <t xml:space="preserve">dihydroartemisinin-piperaquine; dihydroartemisinin piperaquine; dihydroartemisinin/piperaquine; dihydroartemisinin and piperaquine</t>
  </si>
  <si>
    <t xml:space="preserve">dihydroartemisinin; piperaquine</t>
  </si>
  <si>
    <t xml:space="preserve">• Take on an empty stomach, away from fatty meals (see leaflet).
• Finish the full course even if you feel better.
• Do not take with other antimalarial treatments.</t>
  </si>
  <si>
    <t xml:space="preserve">P-Alaxin</t>
  </si>
  <si>
    <t xml:space="preserve">sulfadoxine_pyrimethamine</t>
  </si>
  <si>
    <t xml:space="preserve">Sulfadoxine-pyrimethamine (SP)</t>
  </si>
  <si>
    <t xml:space="preserve">sulfadoxine-pyrimethamine; sulfadoxine pyrimethamine; sulfadoxine/pyrimethamine; sulfadoxine and pyrimethamine</t>
  </si>
  <si>
    <t xml:space="preserve">sulfadoxine; pyrimethamine</t>
  </si>
  <si>
    <t xml:space="preserve">Antimalarial (malaria prevention in pregnancy)</t>
  </si>
  <si>
    <t xml:space="preserve">antimalarial, sulfonamide</t>
  </si>
  <si>
    <t xml:space="preserve">Mainly used to prevent malaria in pregnancy as part of antenatal care. Not recommended on its own to treat malaria.</t>
  </si>
  <si>
    <t xml:space="preserve">• Use only as directed at antenatal clinic or by a health worker.
• Do not take if allergic to sulfa medicines.
• Stop and seek help urgently if a skin rash appears.</t>
  </si>
  <si>
    <t xml:space="preserve">Only as directed by a health worker.</t>
  </si>
  <si>
    <t xml:space="preserve">Given in pregnancy only through antenatal care, on the schedule a health worker sets.</t>
  </si>
  <si>
    <t xml:space="preserve">Fansidar</t>
  </si>
  <si>
    <t xml:space="preserve">quinine</t>
  </si>
  <si>
    <t xml:space="preserve">Quinine</t>
  </si>
  <si>
    <t xml:space="preserve">Antimalarial</t>
  </si>
  <si>
    <t xml:space="preserve">Malaria treatment when prescribed, often for severe malaria in hospital.</t>
  </si>
  <si>
    <t xml:space="preserve">• Only take when prescribed.
• Can cause ringing in the ears, dizziness and low blood sugar.
• Do not combine with other antimalarial treatments unless a doctor directs.</t>
  </si>
  <si>
    <t xml:space="preserve">Only when prescribed.</t>
  </si>
  <si>
    <t xml:space="preserve">amoxicillin</t>
  </si>
  <si>
    <t xml:space="preserve">Amoxicillin</t>
  </si>
  <si>
    <t xml:space="preserve">amoxicillin; amoxycillin</t>
  </si>
  <si>
    <t xml:space="preserve">Antibiotic (penicillin)</t>
  </si>
  <si>
    <t xml:space="preserve">Bacterial infections, when prescribed.</t>
  </si>
  <si>
    <t xml:space="preserve">• Do not take if you are allergic to penicillin.
• Finish the course prescribed to you.
• Antibiotics do not treat colds or flu.</t>
  </si>
  <si>
    <t xml:space="preserve">Children's doses depend on weight.</t>
  </si>
  <si>
    <t xml:space="preserve">Amoxil</t>
  </si>
  <si>
    <t xml:space="preserve">amoxicillin_clavulanate</t>
  </si>
  <si>
    <t xml:space="preserve">Amoxicillin with clavulanic acid</t>
  </si>
  <si>
    <t xml:space="preserve">amoxicillin and clavulanic acid; amoxicillin clavulanate; amoxicillin/clavulanic acid; co-amoxiclav; amoxicillin-clavulanate; amoxiclav</t>
  </si>
  <si>
    <t xml:space="preserve">amoxicillin; clavulanic acid</t>
  </si>
  <si>
    <t xml:space="preserve">Antibiotic (penicillin combination)</t>
  </si>
  <si>
    <t xml:space="preserve">• Do not take if you are allergic to penicillin.
• Take at the start of a meal to reduce stomach upset.
• Finish the course prescribed to you.</t>
  </si>
  <si>
    <t xml:space="preserve">Augmentin</t>
  </si>
  <si>
    <t xml:space="preserve">ampicillin_cloxacillin</t>
  </si>
  <si>
    <t xml:space="preserve">Ampicillin with cloxacillin</t>
  </si>
  <si>
    <t xml:space="preserve">ampicillin and cloxacillin; ampicillin cloxacillin; ampicillin/cloxacillin; ampicillin + cloxacillin</t>
  </si>
  <si>
    <t xml:space="preserve">ampicillin; cloxacillin</t>
  </si>
  <si>
    <t xml:space="preserve">• Do not take if you are allergic to penicillin.
• Usually taken on an empty stomach (see leaflet).
• Finish the course prescribed to you.</t>
  </si>
  <si>
    <t xml:space="preserve">Ampiclox</t>
  </si>
  <si>
    <t xml:space="preserve">ciprofloxacin</t>
  </si>
  <si>
    <t xml:space="preserve">Ciprofloxacin</t>
  </si>
  <si>
    <t xml:space="preserve">Antibiotic (fluoroquinolone)</t>
  </si>
  <si>
    <t xml:space="preserve">• Do not take at the same time as antacids, iron, zinc or calcium: they stop it working.
• Stop and seek advice if you get tendon pain or swelling.
• Finish the course prescribed to you.</t>
  </si>
  <si>
    <t xml:space="preserve">Not usually used in children.</t>
  </si>
  <si>
    <t xml:space="preserve">Usually avoided in pregnancy.</t>
  </si>
  <si>
    <t xml:space="preserve">Ciproxin</t>
  </si>
  <si>
    <t xml:space="preserve">metronidazole</t>
  </si>
  <si>
    <t xml:space="preserve">Metronidazole</t>
  </si>
  <si>
    <t xml:space="preserve">Antibiotic and antiprotozoal</t>
  </si>
  <si>
    <t xml:space="preserve">Certain infections, when prescribed.</t>
  </si>
  <si>
    <t xml:space="preserve">• Do not drink alcohol while taking it and for at least 2 days after (see leaflet).
• Can leave a metallic taste.
• Finish the course prescribed to you.</t>
  </si>
  <si>
    <t xml:space="preserve">Flagyl</t>
  </si>
  <si>
    <t xml:space="preserve">doxycycline</t>
  </si>
  <si>
    <t xml:space="preserve">Doxycycline</t>
  </si>
  <si>
    <t xml:space="preserve">Antibiotic (tetracycline)</t>
  </si>
  <si>
    <t xml:space="preserve">Bacterial infections and some malaria prevention, when prescribed.</t>
  </si>
  <si>
    <t xml:space="preserve">• Swallow with plenty of water while sitting or standing.
• Do not take at the same time as antacids, iron, zinc or calcium.
• Can make skin sensitive to sun.</t>
  </si>
  <si>
    <t xml:space="preserve">Not usually for children under 12: it can stain teeth.</t>
  </si>
  <si>
    <t xml:space="preserve">Avoid in pregnancy.</t>
  </si>
  <si>
    <t xml:space="preserve">Vibramycin</t>
  </si>
  <si>
    <t xml:space="preserve">cotrimoxazole</t>
  </si>
  <si>
    <t xml:space="preserve">Co-trimoxazole</t>
  </si>
  <si>
    <t xml:space="preserve">co-trimoxazole; cotrimoxazole; sulfamethoxazole and trimethoprim; sulfamethoxazole/trimethoprim; trimethoprim-sulfamethoxazole; sulfamethoxazole trimethoprim</t>
  </si>
  <si>
    <t xml:space="preserve">sulfamethoxazole; trimethoprim</t>
  </si>
  <si>
    <t xml:space="preserve">Antibiotic (sulfonamide combination)</t>
  </si>
  <si>
    <t xml:space="preserve">sulfonamide</t>
  </si>
  <si>
    <t xml:space="preserve">Certain infections and infection prevention, when prescribed.</t>
  </si>
  <si>
    <t xml:space="preserve">• Do not take if allergic to sulfa medicines.
• Stop and seek help urgently if a skin rash appears.
• Drink plenty of water.</t>
  </si>
  <si>
    <t xml:space="preserve">Septrin</t>
  </si>
  <si>
    <t xml:space="preserve">azithromycin</t>
  </si>
  <si>
    <t xml:space="preserve">Azithromycin</t>
  </si>
  <si>
    <t xml:space="preserve">Antibiotic (macrolide)</t>
  </si>
  <si>
    <t xml:space="preserve">• Keep antacids a few hours apart from it.
• Finish the course prescribed to you, even though it is short.</t>
  </si>
  <si>
    <t xml:space="preserve">Zithromax</t>
  </si>
  <si>
    <t xml:space="preserve">cefuroxime</t>
  </si>
  <si>
    <t xml:space="preserve">Cefuroxime</t>
  </si>
  <si>
    <t xml:space="preserve">Antibiotic (cephalosporin)</t>
  </si>
  <si>
    <t xml:space="preserve">• Tell the pharmacist if you have had a serious allergy to penicillin.
• Take with food.
• Finish the course prescribed to you.</t>
  </si>
  <si>
    <t xml:space="preserve">Zinnat</t>
  </si>
  <si>
    <t xml:space="preserve">fluconazole</t>
  </si>
  <si>
    <t xml:space="preserve">Fluconazole</t>
  </si>
  <si>
    <t xml:space="preserve">Antifungal</t>
  </si>
  <si>
    <t xml:space="preserve">Fungal infections such as vaginal thrush, when advised by a pharmacist or prescribed.</t>
  </si>
  <si>
    <t xml:space="preserve">• Interacts with several medicines: tell the pharmacist what else you take.</t>
  </si>
  <si>
    <t xml:space="preserve">Diflucan</t>
  </si>
  <si>
    <t xml:space="preserve">clotrimazole</t>
  </si>
  <si>
    <t xml:space="preserve">Clotrimazole (cream or pessary)</t>
  </si>
  <si>
    <t xml:space="preserve">Antifungal (applied to skin)</t>
  </si>
  <si>
    <t xml:space="preserve">Fungal skin infections such as ringworm and athlete's foot, and vaginal thrush.</t>
  </si>
  <si>
    <t xml:space="preserve">• For external or vaginal use only: do not swallow.
• Keep using for the time on the leaflet even if it looks better.</t>
  </si>
  <si>
    <t xml:space="preserve">Ask a pharmacist before use in young children.</t>
  </si>
  <si>
    <t xml:space="preserve">Canesten</t>
  </si>
  <si>
    <t xml:space="preserve">albendazole</t>
  </si>
  <si>
    <t xml:space="preserve">Albendazole</t>
  </si>
  <si>
    <t xml:space="preserve">Deworming medicine (anthelmintic)</t>
  </si>
  <si>
    <t xml:space="preserve">Intestinal worm infections.</t>
  </si>
  <si>
    <t xml:space="preserve">• Wash hands and keep nails short to stop reinfection.</t>
  </si>
  <si>
    <t xml:space="preserve">Not usually for very young children without advice.</t>
  </si>
  <si>
    <t xml:space="preserve">Avoid in the first three months of pregnancy.</t>
  </si>
  <si>
    <t xml:space="preserve">Zentel</t>
  </si>
  <si>
    <t xml:space="preserve">mebendazole</t>
  </si>
  <si>
    <t xml:space="preserve">Mebendazole</t>
  </si>
  <si>
    <t xml:space="preserve">Not usually for children under 2 without advice.</t>
  </si>
  <si>
    <t xml:space="preserve">Vermox</t>
  </si>
  <si>
    <t xml:space="preserve">ors</t>
  </si>
  <si>
    <t xml:space="preserve">Oral rehydration salts (ORS)</t>
  </si>
  <si>
    <t xml:space="preserve">oral rehydration salts; oral rehydration salt; ors</t>
  </si>
  <si>
    <t xml:space="preserve">oral rehydration salts</t>
  </si>
  <si>
    <t xml:space="preserve">Rehydration</t>
  </si>
  <si>
    <t xml:space="preserve">Replacing water and salts lost through diarrhoea or vomiting.</t>
  </si>
  <si>
    <t xml:space="preserve">• Mix with exactly the amount of clean water the pack says.
• Get help urgently if there is blood in stool, high fever or signs of severe dehydration.</t>
  </si>
  <si>
    <t xml:space="preserve">Very important for children with diarrhoea; mix exactly as the pack says.</t>
  </si>
  <si>
    <t xml:space="preserve">Generally safe to use; seek care if vomiting or diarrhoea is severe.</t>
  </si>
  <si>
    <t xml:space="preserve">zinc</t>
  </si>
  <si>
    <t xml:space="preserve">Zinc sulfate</t>
  </si>
  <si>
    <t xml:space="preserve">zinc sulfate; zinc sulphate; zinc</t>
  </si>
  <si>
    <t xml:space="preserve">Mineral supplement</t>
  </si>
  <si>
    <t xml:space="preserve">Used with ORS to help children recover from diarrhoea.</t>
  </si>
  <si>
    <t xml:space="preserve">• Can upset the stomach; take after food.
• Keep apart from some antibiotics (ciprofloxacin, doxycycline).</t>
  </si>
  <si>
    <t xml:space="preserve">Commonly given to children with diarrhoea alongside ORS; check the dose for age.</t>
  </si>
  <si>
    <t xml:space="preserve">antacid</t>
  </si>
  <si>
    <t xml:space="preserve">Antacid (aluminium/magnesium hydroxide)</t>
  </si>
  <si>
    <t xml:space="preserve">aluminium hydroxide; magnesium hydroxide; magnesium trisilicate; antacid</t>
  </si>
  <si>
    <t xml:space="preserve">Indigestion relief</t>
  </si>
  <si>
    <t xml:space="preserve">Heartburn and indigestion.</t>
  </si>
  <si>
    <t xml:space="preserve">• Keep a gap of a few hours between antacids and other medicines such as some antibiotics and iron.</t>
  </si>
  <si>
    <t xml:space="preserve">Ask a pharmacist before giving to children.</t>
  </si>
  <si>
    <t xml:space="preserve">omeprazole</t>
  </si>
  <si>
    <t xml:space="preserve">Omeprazole</t>
  </si>
  <si>
    <t xml:space="preserve">Stomach acid reducer (proton pump inhibitor)</t>
  </si>
  <si>
    <t xml:space="preserve">Heartburn, acid reflux and stomach ulcers.</t>
  </si>
  <si>
    <t xml:space="preserve">• Take before a meal, usually in the morning.
• See a doctor if you have trouble swallowing, weight loss or black stools.</t>
  </si>
  <si>
    <t xml:space="preserve">Losec</t>
  </si>
  <si>
    <t xml:space="preserve">loperamide</t>
  </si>
  <si>
    <t xml:space="preserve">Loperamide</t>
  </si>
  <si>
    <t xml:space="preserve">Anti-diarrhoea medicine</t>
  </si>
  <si>
    <t xml:space="preserve">Short-term relief of diarrhoea in adults.</t>
  </si>
  <si>
    <t xml:space="preserve">• Do not use if there is blood in the stool or a high fever.
• Keep drinking fluids or ORS.</t>
  </si>
  <si>
    <t xml:space="preserve">Not for young children: use ORS instead and ask a pharmacist.</t>
  </si>
  <si>
    <t xml:space="preserve">Imodium</t>
  </si>
  <si>
    <t xml:space="preserve">hyoscine_butylbromide</t>
  </si>
  <si>
    <t xml:space="preserve">Hyoscine butylbromide</t>
  </si>
  <si>
    <t xml:space="preserve">hyoscine butylbromide; hyoscine-n-butylbromide; butylscopolamine</t>
  </si>
  <si>
    <t xml:space="preserve">hyoscine butylbromide</t>
  </si>
  <si>
    <t xml:space="preserve">Antispasmodic</t>
  </si>
  <si>
    <t xml:space="preserve">Stomach cramps and period cramps.</t>
  </si>
  <si>
    <t xml:space="preserve">• Can cause dry mouth and blurred vision.
• See a doctor if pain is severe or does not go away.</t>
  </si>
  <si>
    <t xml:space="preserve">Buscopan</t>
  </si>
  <si>
    <t xml:space="preserve">metoclopramide</t>
  </si>
  <si>
    <t xml:space="preserve">Metoclopramide</t>
  </si>
  <si>
    <t xml:space="preserve">Anti-sickness medicine</t>
  </si>
  <si>
    <t xml:space="preserve">Nausea and vomiting, when prescribed.</t>
  </si>
  <si>
    <t xml:space="preserve">• Short-term use only.
• Stop and seek advice if you get unusual movements or muscle spasms.</t>
  </si>
  <si>
    <t xml:space="preserve">Not usually for children.</t>
  </si>
  <si>
    <t xml:space="preserve">Maxolon</t>
  </si>
  <si>
    <t xml:space="preserve">loratadine</t>
  </si>
  <si>
    <t xml:space="preserve">Loratadine</t>
  </si>
  <si>
    <t xml:space="preserve">Antihistamine (non-drowsy)</t>
  </si>
  <si>
    <t xml:space="preserve">Allergies such as sneezing, runny nose and itchy skin.</t>
  </si>
  <si>
    <t xml:space="preserve">• Can occasionally cause drowsiness.</t>
  </si>
  <si>
    <t xml:space="preserve">Children's doses are different: check the leaflet.</t>
  </si>
  <si>
    <t xml:space="preserve">Clarityne</t>
  </si>
  <si>
    <t xml:space="preserve">cetirizine</t>
  </si>
  <si>
    <t xml:space="preserve">Cetirizine</t>
  </si>
  <si>
    <t xml:space="preserve">Antihistamine (low-drowsy)</t>
  </si>
  <si>
    <t xml:space="preserve">• Can cause drowsiness in some people: avoid alcohol.</t>
  </si>
  <si>
    <t xml:space="preserve">Zyrtec</t>
  </si>
  <si>
    <t xml:space="preserve">chlorphenamine</t>
  </si>
  <si>
    <t xml:space="preserve">Chlorphenamine</t>
  </si>
  <si>
    <t xml:space="preserve">chlorphenamine; chlorpheniramine</t>
  </si>
  <si>
    <t xml:space="preserve">Antihistamine (drowsy)</t>
  </si>
  <si>
    <t xml:space="preserve">Allergies and itching.</t>
  </si>
  <si>
    <t xml:space="preserve">• Causes drowsiness: do not drive or operate machinery.
• Avoid alcohol.</t>
  </si>
  <si>
    <t xml:space="preserve">Children's doses are different; not for very young children.</t>
  </si>
  <si>
    <t xml:space="preserve">Piriton</t>
  </si>
  <si>
    <t xml:space="preserve">promethazine</t>
  </si>
  <si>
    <t xml:space="preserve">Promethazine</t>
  </si>
  <si>
    <t xml:space="preserve">Allergies, nausea and short-term sleep problems.</t>
  </si>
  <si>
    <t xml:space="preserve">• Causes strong drowsiness: do not drive or operate machinery.
• Avoid alcohol.</t>
  </si>
  <si>
    <t xml:space="preserve">Never for children under 2.</t>
  </si>
  <si>
    <t xml:space="preserve">Phenergan</t>
  </si>
  <si>
    <t xml:space="preserve">salbutamol</t>
  </si>
  <si>
    <t xml:space="preserve">Salbutamol</t>
  </si>
  <si>
    <t xml:space="preserve">salbutamol; albuterol</t>
  </si>
  <si>
    <t xml:space="preserve">Reliever for asthma (bronchodilator)</t>
  </si>
  <si>
    <t xml:space="preserve">Quick relief of asthma and wheezing.</t>
  </si>
  <si>
    <t xml:space="preserve">• If you need it more than usual, see a doctor: your asthma may be getting worse.
• Can cause shakiness and a fast heartbeat.</t>
  </si>
  <si>
    <t xml:space="preserve">Only as prescribed.</t>
  </si>
  <si>
    <t xml:space="preserve">Keep using as prescribed; uncontrolled asthma is a bigger risk.</t>
  </si>
  <si>
    <t xml:space="preserve">Ventolin</t>
  </si>
  <si>
    <t xml:space="preserve">amlodipine</t>
  </si>
  <si>
    <t xml:space="preserve">Amlodipine</t>
  </si>
  <si>
    <t xml:space="preserve">Blood pressure medicine (calcium channel blocker)</t>
  </si>
  <si>
    <t xml:space="preserve">High blood pressure and some heart conditions, when prescribed.</t>
  </si>
  <si>
    <t xml:space="preserve">• Take every day as prescribed, even if you feel well.
• Can cause ankle swelling.
• Do not stop suddenly without speaking to your doctor.</t>
  </si>
  <si>
    <t xml:space="preserve">Norvasc</t>
  </si>
  <si>
    <t xml:space="preserve">metformin</t>
  </si>
  <si>
    <t xml:space="preserve">Metformin</t>
  </si>
  <si>
    <t xml:space="preserve">Diabetes medicine</t>
  </si>
  <si>
    <t xml:space="preserve">Type 2 diabetes, when prescribed.</t>
  </si>
  <si>
    <t xml:space="preserve">• Take with or after meals.
• Avoid heavy alcohol drinking.
• Tell your doctor if you become very unwell with vomiting or dehydration.</t>
  </si>
  <si>
    <t xml:space="preserve">Glucophage</t>
  </si>
  <si>
    <t xml:space="preserve">ferrous_sulfate</t>
  </si>
  <si>
    <t xml:space="preserve">Ferrous sulfate (iron)</t>
  </si>
  <si>
    <t xml:space="preserve">ferrous sulfate; ferrous sulphate; iron</t>
  </si>
  <si>
    <t xml:space="preserve">iron</t>
  </si>
  <si>
    <t xml:space="preserve">Iron supplement</t>
  </si>
  <si>
    <t xml:space="preserve">Preventing or treating low iron (anaemia).</t>
  </si>
  <si>
    <t xml:space="preserve">• Can darken stool and upset the stomach.
• Keep out of reach of children: iron overdose is dangerous for them.
• Keep apart from antacids and some antibiotics.</t>
  </si>
  <si>
    <t xml:space="preserve">Children's doses are different; keep tablets locked away.</t>
  </si>
  <si>
    <t xml:space="preserve">Commonly advised in pregnancy: take as directed at antenatal clinic.</t>
  </si>
  <si>
    <t xml:space="preserve">folic_acid</t>
  </si>
  <si>
    <t xml:space="preserve">Folic acid</t>
  </si>
  <si>
    <t xml:space="preserve">folic acid; folate</t>
  </si>
  <si>
    <t xml:space="preserve">folic acid</t>
  </si>
  <si>
    <t xml:space="preserve">Vitamin supplement</t>
  </si>
  <si>
    <t xml:space="preserve">Preventing some birth defects in pregnancy and treating some types of anaemia.</t>
  </si>
  <si>
    <t xml:space="preserve">• Take every day as advised.</t>
  </si>
  <si>
    <t xml:space="preserve">Only as directed.</t>
  </si>
  <si>
    <t xml:space="preserve">Recommended before and in early pregnancy: take as directed.</t>
  </si>
  <si>
    <t xml:space="preserve">vitamin_c</t>
  </si>
  <si>
    <t xml:space="preserve">Vitamin C (ascorbic acid)</t>
  </si>
  <si>
    <t xml:space="preserve">vitamin c; ascorbic acid</t>
  </si>
  <si>
    <t xml:space="preserve">vitamin c</t>
  </si>
  <si>
    <t xml:space="preserve">Vitamin C supplementation.</t>
  </si>
  <si>
    <t xml:space="preserve">• High doses can upset the stomach.</t>
  </si>
  <si>
    <t xml:space="preserve">Use children's products.</t>
  </si>
  <si>
    <t xml:space="preserve">Normal doses are generally fine; ask before high doses.</t>
  </si>
  <si>
    <t xml:space="preserve">vitamin_b_complex</t>
  </si>
  <si>
    <t xml:space="preserve">Vitamin B complex</t>
  </si>
  <si>
    <t xml:space="preserve">vitamin b complex; b complex; vitamin b-complex</t>
  </si>
  <si>
    <t xml:space="preserve">vitamin b complex</t>
  </si>
  <si>
    <t xml:space="preserve">Vitamin B supplementation.</t>
  </si>
  <si>
    <t xml:space="preserve">• Can turn urine bright yellow; this is harmless.</t>
  </si>
  <si>
    <t xml:space="preserve">Normal doses are generally fine; ask a pharmacist.</t>
  </si>
  <si>
    <t xml:space="preserve">Medicine or group A</t>
  </si>
  <si>
    <t xml:space="preserve">Medicine or group B</t>
  </si>
  <si>
    <t xml:space="preserve">Severity</t>
  </si>
  <si>
    <t xml:space="preserve">Message shown to user</t>
  </si>
  <si>
    <t xml:space="preserve">group:nsaid</t>
  </si>
  <si>
    <t xml:space="preserve">avoid</t>
  </si>
  <si>
    <t xml:space="preserve">Both are anti-inflammatory painkillers (NSAIDs). Together they raise the risk of stomach bleeding and kidney harm.</t>
  </si>
  <si>
    <t xml:space="preserve">group:antimalarial</t>
  </si>
  <si>
    <t xml:space="preserve">These are both malaria medicines. Do not take two malaria treatments together unless a health worker directs it.</t>
  </si>
  <si>
    <t xml:space="preserve">group:sedating</t>
  </si>
  <si>
    <t xml:space="preserve">caution</t>
  </si>
  <si>
    <t xml:space="preserve">Both cause drowsiness. Together they can make you very sleepy and slow your breathing. Ask a pharmacist first.</t>
  </si>
  <si>
    <t xml:space="preserve">group:sulfonamide</t>
  </si>
  <si>
    <t xml:space="preserve">Both contain sulfa medicines. People taking co-trimoxazole should not also be given SP unless a health worker decides.</t>
  </si>
  <si>
    <t xml:space="preserve">separate</t>
  </si>
  <si>
    <t xml:space="preserve">Antacids stop ciprofloxacin being absorbed. Take them hours apart (see the leaflet).</t>
  </si>
  <si>
    <t xml:space="preserve">Iron stops ciprofloxacin being absorbed. Take them hours apart (see the leaflet).</t>
  </si>
  <si>
    <t xml:space="preserve">Zinc stops ciprofloxacin being absorbed. Take them hours apart (see the leaflet).</t>
  </si>
  <si>
    <t xml:space="preserve">Antacids stop doxycycline being absorbed. Take them hours apart (see the leaflet).</t>
  </si>
  <si>
    <t xml:space="preserve">Iron stops doxycycline being absorbed. Take them hours apart (see the leaflet).</t>
  </si>
  <si>
    <t xml:space="preserve">Zinc stops doxycycline being absorbed. Take them hours apart (see the leaflet).</t>
  </si>
  <si>
    <t xml:space="preserve">Antacids can reduce how well azithromycin works. Keep them a few hours apart.</t>
  </si>
  <si>
    <t xml:space="preserve">Anti-inflammatory painkillers can raise blood pressure and make blood pressure medicine work less well. Ask a pharmacist.</t>
  </si>
  <si>
    <t xml:space="preserve">These have opposite effects on the gut, so each can cancel out the other. Ask a pharmacist.</t>
  </si>
  <si>
    <t xml:space="preserve">Fluconazole can increase the effect of amlodipine. Ask a pharmacist.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</si>
</sst>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color rgb="FF0F7A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7A55"/>
        <bgColor rgb="FF008080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7A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55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COUNTA(Medicines!A2:A44)</f>
        <v>43</v>
      </c>
    </row>
    <row r="4" customFormat="false" ht="15" hidden="false" customHeight="false" outlineLevel="0" collapsed="false">
      <c r="A4" s="3" t="s">
        <v>3</v>
      </c>
      <c r="B4" s="4" t="n">
        <f aca="false">COUNTIF(Medicines!P2:P44,"Yes")</f>
        <v>0</v>
      </c>
    </row>
    <row r="5" customFormat="false" ht="15" hidden="false" customHeight="false" outlineLevel="0" collapsed="false">
      <c r="A5" s="3" t="s">
        <v>4</v>
      </c>
      <c r="B5" s="4" t="n">
        <f aca="false">COUNTA(Interactions!A2:A15)</f>
        <v>14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3" t="s">
        <v>6</v>
      </c>
      <c r="B8" s="4" t="s">
        <v>7</v>
      </c>
    </row>
    <row r="9" customFormat="false" ht="23.85" hidden="false" customHeight="false" outlineLevel="0" collapsed="false">
      <c r="A9" s="3" t="s">
        <v>8</v>
      </c>
      <c r="B9" s="4" t="s">
        <v>9</v>
      </c>
    </row>
    <row r="10" customFormat="false" ht="15" hidden="false" customHeight="false" outlineLevel="0" collapsed="false">
      <c r="A10" s="3" t="s">
        <v>10</v>
      </c>
      <c r="B10" s="4" t="s">
        <v>11</v>
      </c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20</v>
      </c>
    </row>
    <row r="17" customFormat="false" ht="15" hidden="false" customHeight="false" outlineLevel="0" collapsed="false">
      <c r="A17" s="3" t="s">
        <v>21</v>
      </c>
      <c r="B17" s="4" t="s">
        <v>22</v>
      </c>
    </row>
    <row r="18" customFormat="false" ht="15" hidden="false" customHeight="false" outlineLevel="0" collapsed="false">
      <c r="A18" s="3" t="s">
        <v>23</v>
      </c>
      <c r="B18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60"/>
    <col collapsed="false" customWidth="true" hidden="false" outlineLevel="0" max="10" min="10" style="0" width="36"/>
    <col collapsed="false" customWidth="true" hidden="false" outlineLevel="0" max="11" min="11" style="0" width="38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11"/>
    <col collapsed="false" customWidth="true" hidden="false" outlineLevel="0" max="17" min="17" style="0" width="30"/>
  </cols>
  <sheetData>
    <row r="1" customFormat="false" ht="26.85" hidden="false" customHeight="fals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23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</row>
    <row r="2" customFormat="false" ht="46.25" hidden="false" customHeight="false" outlineLevel="0" collapsed="false">
      <c r="A2" s="6" t="s">
        <v>41</v>
      </c>
      <c r="B2" s="6" t="s">
        <v>42</v>
      </c>
      <c r="C2" s="6" t="s">
        <v>43</v>
      </c>
      <c r="D2" s="6" t="s">
        <v>41</v>
      </c>
      <c r="E2" s="6" t="s">
        <v>44</v>
      </c>
      <c r="F2" s="6"/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50</v>
      </c>
      <c r="M2" s="7"/>
      <c r="N2" s="7"/>
      <c r="O2" s="7"/>
      <c r="P2" s="7" t="s">
        <v>45</v>
      </c>
      <c r="Q2" s="7"/>
    </row>
    <row r="3" customFormat="false" ht="35.05" hidden="false" customHeight="false" outlineLevel="0" collapsed="false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/>
      <c r="G3" s="6" t="s">
        <v>45</v>
      </c>
      <c r="H3" s="6" t="s">
        <v>56</v>
      </c>
      <c r="I3" s="6" t="s">
        <v>57</v>
      </c>
      <c r="J3" s="6" t="s">
        <v>58</v>
      </c>
      <c r="K3" s="6" t="s">
        <v>59</v>
      </c>
      <c r="L3" s="6" t="s">
        <v>60</v>
      </c>
      <c r="M3" s="7"/>
      <c r="N3" s="7"/>
      <c r="O3" s="7"/>
      <c r="P3" s="7" t="s">
        <v>45</v>
      </c>
      <c r="Q3" s="7"/>
    </row>
    <row r="4" customFormat="false" ht="46.25" hidden="false" customHeight="false" outlineLevel="0" collapsed="false">
      <c r="A4" s="6" t="s">
        <v>61</v>
      </c>
      <c r="B4" s="6" t="s">
        <v>62</v>
      </c>
      <c r="C4" s="6" t="s">
        <v>61</v>
      </c>
      <c r="D4" s="6" t="s">
        <v>61</v>
      </c>
      <c r="E4" s="6" t="s">
        <v>63</v>
      </c>
      <c r="F4" s="6" t="s">
        <v>64</v>
      </c>
      <c r="G4" s="6" t="s">
        <v>45</v>
      </c>
      <c r="H4" s="6" t="s">
        <v>65</v>
      </c>
      <c r="I4" s="6" t="s">
        <v>66</v>
      </c>
      <c r="J4" s="6" t="s">
        <v>67</v>
      </c>
      <c r="K4" s="6" t="s">
        <v>68</v>
      </c>
      <c r="L4" s="6" t="s">
        <v>69</v>
      </c>
      <c r="M4" s="7"/>
      <c r="N4" s="7"/>
      <c r="O4" s="7"/>
      <c r="P4" s="7" t="s">
        <v>45</v>
      </c>
      <c r="Q4" s="7"/>
    </row>
    <row r="5" customFormat="false" ht="46.25" hidden="false" customHeight="false" outlineLevel="0" collapsed="false">
      <c r="A5" s="6" t="s">
        <v>70</v>
      </c>
      <c r="B5" s="6" t="s">
        <v>71</v>
      </c>
      <c r="C5" s="6" t="s">
        <v>70</v>
      </c>
      <c r="D5" s="6" t="s">
        <v>70</v>
      </c>
      <c r="E5" s="6" t="s">
        <v>63</v>
      </c>
      <c r="F5" s="6" t="s">
        <v>64</v>
      </c>
      <c r="G5" s="6" t="s">
        <v>45</v>
      </c>
      <c r="H5" s="6" t="s">
        <v>72</v>
      </c>
      <c r="I5" s="6" t="s">
        <v>73</v>
      </c>
      <c r="J5" s="6" t="s">
        <v>74</v>
      </c>
      <c r="K5" s="6" t="s">
        <v>68</v>
      </c>
      <c r="L5" s="6" t="s">
        <v>75</v>
      </c>
      <c r="M5" s="7"/>
      <c r="N5" s="7"/>
      <c r="O5" s="7"/>
      <c r="P5" s="7" t="s">
        <v>45</v>
      </c>
      <c r="Q5" s="7"/>
    </row>
    <row r="6" customFormat="false" ht="46.25" hidden="false" customHeight="false" outlineLevel="0" collapsed="false">
      <c r="A6" s="6" t="s">
        <v>76</v>
      </c>
      <c r="B6" s="6" t="s">
        <v>77</v>
      </c>
      <c r="C6" s="6" t="s">
        <v>76</v>
      </c>
      <c r="D6" s="6" t="s">
        <v>76</v>
      </c>
      <c r="E6" s="6" t="s">
        <v>63</v>
      </c>
      <c r="F6" s="6" t="s">
        <v>64</v>
      </c>
      <c r="G6" s="6" t="s">
        <v>45</v>
      </c>
      <c r="H6" s="6" t="s">
        <v>78</v>
      </c>
      <c r="I6" s="6" t="s">
        <v>79</v>
      </c>
      <c r="J6" s="6" t="s">
        <v>74</v>
      </c>
      <c r="K6" s="6" t="s">
        <v>68</v>
      </c>
      <c r="L6" s="6"/>
      <c r="M6" s="7"/>
      <c r="N6" s="7"/>
      <c r="O6" s="7"/>
      <c r="P6" s="7" t="s">
        <v>45</v>
      </c>
      <c r="Q6" s="7"/>
    </row>
    <row r="7" customFormat="false" ht="35.05" hidden="false" customHeight="false" outlineLevel="0" collapsed="false">
      <c r="A7" s="6" t="s">
        <v>80</v>
      </c>
      <c r="B7" s="6" t="s">
        <v>81</v>
      </c>
      <c r="C7" s="6" t="s">
        <v>82</v>
      </c>
      <c r="D7" s="6" t="s">
        <v>80</v>
      </c>
      <c r="E7" s="6" t="s">
        <v>83</v>
      </c>
      <c r="F7" s="6" t="s">
        <v>64</v>
      </c>
      <c r="G7" s="6" t="s">
        <v>45</v>
      </c>
      <c r="H7" s="6" t="s">
        <v>84</v>
      </c>
      <c r="I7" s="6" t="s">
        <v>85</v>
      </c>
      <c r="J7" s="6" t="s">
        <v>86</v>
      </c>
      <c r="K7" s="6" t="s">
        <v>68</v>
      </c>
      <c r="L7" s="6"/>
      <c r="M7" s="7"/>
      <c r="N7" s="7"/>
      <c r="O7" s="7"/>
      <c r="P7" s="7" t="s">
        <v>45</v>
      </c>
      <c r="Q7" s="7"/>
    </row>
    <row r="8" customFormat="false" ht="57.45" hidden="false" customHeight="false" outlineLevel="0" collapsed="false">
      <c r="A8" s="6" t="s">
        <v>87</v>
      </c>
      <c r="B8" s="6" t="s">
        <v>88</v>
      </c>
      <c r="C8" s="6" t="s">
        <v>87</v>
      </c>
      <c r="D8" s="6" t="s">
        <v>87</v>
      </c>
      <c r="E8" s="6" t="s">
        <v>89</v>
      </c>
      <c r="F8" s="6" t="s">
        <v>90</v>
      </c>
      <c r="G8" s="6" t="s">
        <v>91</v>
      </c>
      <c r="H8" s="6" t="s">
        <v>92</v>
      </c>
      <c r="I8" s="6" t="s">
        <v>93</v>
      </c>
      <c r="J8" s="6" t="s">
        <v>94</v>
      </c>
      <c r="K8" s="6" t="s">
        <v>95</v>
      </c>
      <c r="L8" s="6"/>
      <c r="M8" s="7"/>
      <c r="N8" s="7"/>
      <c r="O8" s="7"/>
      <c r="P8" s="7" t="s">
        <v>45</v>
      </c>
      <c r="Q8" s="7"/>
    </row>
    <row r="9" customFormat="false" ht="46.25" hidden="false" customHeight="false" outlineLevel="0" collapsed="false">
      <c r="A9" s="6" t="s">
        <v>96</v>
      </c>
      <c r="B9" s="6" t="s">
        <v>97</v>
      </c>
      <c r="C9" s="6" t="s">
        <v>98</v>
      </c>
      <c r="D9" s="6" t="s">
        <v>99</v>
      </c>
      <c r="E9" s="6" t="s">
        <v>100</v>
      </c>
      <c r="F9" s="6" t="s">
        <v>101</v>
      </c>
      <c r="G9" s="6" t="s">
        <v>45</v>
      </c>
      <c r="H9" s="6" t="s">
        <v>102</v>
      </c>
      <c r="I9" s="6" t="s">
        <v>103</v>
      </c>
      <c r="J9" s="6" t="s">
        <v>104</v>
      </c>
      <c r="K9" s="6" t="s">
        <v>105</v>
      </c>
      <c r="L9" s="6" t="s">
        <v>106</v>
      </c>
      <c r="M9" s="7"/>
      <c r="N9" s="7"/>
      <c r="O9" s="7"/>
      <c r="P9" s="7" t="s">
        <v>45</v>
      </c>
      <c r="Q9" s="7"/>
    </row>
    <row r="10" customFormat="false" ht="57.45" hidden="false" customHeight="false" outlineLevel="0" collapsed="false">
      <c r="A10" s="6" t="s">
        <v>107</v>
      </c>
      <c r="B10" s="6" t="s">
        <v>108</v>
      </c>
      <c r="C10" s="6" t="s">
        <v>109</v>
      </c>
      <c r="D10" s="6" t="s">
        <v>110</v>
      </c>
      <c r="E10" s="6" t="s">
        <v>100</v>
      </c>
      <c r="F10" s="6" t="s">
        <v>101</v>
      </c>
      <c r="G10" s="6" t="s">
        <v>45</v>
      </c>
      <c r="H10" s="6" t="s">
        <v>102</v>
      </c>
      <c r="I10" s="6" t="s">
        <v>111</v>
      </c>
      <c r="J10" s="6" t="s">
        <v>112</v>
      </c>
      <c r="K10" s="6" t="s">
        <v>105</v>
      </c>
      <c r="L10" s="6" t="s">
        <v>113</v>
      </c>
      <c r="M10" s="7"/>
      <c r="N10" s="7"/>
      <c r="O10" s="7"/>
      <c r="P10" s="7" t="s">
        <v>45</v>
      </c>
      <c r="Q10" s="7"/>
    </row>
    <row r="11" customFormat="false" ht="46.25" hidden="false" customHeight="false" outlineLevel="0" collapsed="false">
      <c r="A11" s="6" t="s">
        <v>114</v>
      </c>
      <c r="B11" s="6" t="s">
        <v>115</v>
      </c>
      <c r="C11" s="6" t="s">
        <v>116</v>
      </c>
      <c r="D11" s="6" t="s">
        <v>117</v>
      </c>
      <c r="E11" s="6" t="s">
        <v>100</v>
      </c>
      <c r="F11" s="6" t="s">
        <v>101</v>
      </c>
      <c r="G11" s="6" t="s">
        <v>45</v>
      </c>
      <c r="H11" s="6" t="s">
        <v>102</v>
      </c>
      <c r="I11" s="6" t="s">
        <v>118</v>
      </c>
      <c r="J11" s="6" t="s">
        <v>104</v>
      </c>
      <c r="K11" s="6" t="s">
        <v>105</v>
      </c>
      <c r="L11" s="6" t="s">
        <v>119</v>
      </c>
      <c r="M11" s="7"/>
      <c r="N11" s="7"/>
      <c r="O11" s="7"/>
      <c r="P11" s="7" t="s">
        <v>45</v>
      </c>
      <c r="Q11" s="7"/>
    </row>
    <row r="12" customFormat="false" ht="46.25" hidden="false" customHeight="false" outlineLevel="0" collapsed="false">
      <c r="A12" s="6" t="s">
        <v>120</v>
      </c>
      <c r="B12" s="6" t="s">
        <v>121</v>
      </c>
      <c r="C12" s="6" t="s">
        <v>122</v>
      </c>
      <c r="D12" s="6" t="s">
        <v>123</v>
      </c>
      <c r="E12" s="6" t="s">
        <v>124</v>
      </c>
      <c r="F12" s="6" t="s">
        <v>125</v>
      </c>
      <c r="G12" s="6" t="s">
        <v>91</v>
      </c>
      <c r="H12" s="6" t="s">
        <v>126</v>
      </c>
      <c r="I12" s="6" t="s">
        <v>127</v>
      </c>
      <c r="J12" s="6" t="s">
        <v>128</v>
      </c>
      <c r="K12" s="6" t="s">
        <v>129</v>
      </c>
      <c r="L12" s="6" t="s">
        <v>130</v>
      </c>
      <c r="M12" s="7"/>
      <c r="N12" s="7"/>
      <c r="O12" s="7"/>
      <c r="P12" s="7" t="s">
        <v>45</v>
      </c>
      <c r="Q12" s="7"/>
    </row>
    <row r="13" customFormat="false" ht="46.25" hidden="false" customHeight="false" outlineLevel="0" collapsed="false">
      <c r="A13" s="6" t="s">
        <v>131</v>
      </c>
      <c r="B13" s="6" t="s">
        <v>132</v>
      </c>
      <c r="C13" s="6" t="s">
        <v>131</v>
      </c>
      <c r="D13" s="6" t="s">
        <v>131</v>
      </c>
      <c r="E13" s="6" t="s">
        <v>133</v>
      </c>
      <c r="F13" s="6" t="s">
        <v>101</v>
      </c>
      <c r="G13" s="6" t="s">
        <v>91</v>
      </c>
      <c r="H13" s="6" t="s">
        <v>134</v>
      </c>
      <c r="I13" s="6" t="s">
        <v>135</v>
      </c>
      <c r="J13" s="6" t="s">
        <v>136</v>
      </c>
      <c r="K13" s="6" t="s">
        <v>136</v>
      </c>
      <c r="L13" s="6"/>
      <c r="M13" s="7"/>
      <c r="N13" s="7"/>
      <c r="O13" s="7"/>
      <c r="P13" s="7" t="s">
        <v>45</v>
      </c>
      <c r="Q13" s="7"/>
    </row>
    <row r="14" customFormat="false" ht="35.05" hidden="false" customHeight="false" outlineLevel="0" collapsed="false">
      <c r="A14" s="6" t="s">
        <v>137</v>
      </c>
      <c r="B14" s="6" t="s">
        <v>138</v>
      </c>
      <c r="C14" s="6" t="s">
        <v>139</v>
      </c>
      <c r="D14" s="6" t="s">
        <v>137</v>
      </c>
      <c r="E14" s="6" t="s">
        <v>140</v>
      </c>
      <c r="F14" s="6"/>
      <c r="G14" s="6" t="s">
        <v>91</v>
      </c>
      <c r="H14" s="6" t="s">
        <v>141</v>
      </c>
      <c r="I14" s="6" t="s">
        <v>142</v>
      </c>
      <c r="J14" s="6" t="s">
        <v>143</v>
      </c>
      <c r="K14" s="6" t="s">
        <v>59</v>
      </c>
      <c r="L14" s="6" t="s">
        <v>144</v>
      </c>
      <c r="M14" s="7"/>
      <c r="N14" s="7"/>
      <c r="O14" s="7"/>
      <c r="P14" s="7" t="s">
        <v>45</v>
      </c>
      <c r="Q14" s="7"/>
    </row>
    <row r="15" customFormat="false" ht="46.25" hidden="false" customHeight="false" outlineLevel="0" collapsed="false">
      <c r="A15" s="6" t="s">
        <v>145</v>
      </c>
      <c r="B15" s="6" t="s">
        <v>146</v>
      </c>
      <c r="C15" s="6" t="s">
        <v>147</v>
      </c>
      <c r="D15" s="6" t="s">
        <v>148</v>
      </c>
      <c r="E15" s="6" t="s">
        <v>149</v>
      </c>
      <c r="F15" s="6"/>
      <c r="G15" s="6" t="s">
        <v>91</v>
      </c>
      <c r="H15" s="6" t="s">
        <v>141</v>
      </c>
      <c r="I15" s="6" t="s">
        <v>150</v>
      </c>
      <c r="J15" s="6" t="s">
        <v>143</v>
      </c>
      <c r="K15" s="6" t="s">
        <v>59</v>
      </c>
      <c r="L15" s="6" t="s">
        <v>151</v>
      </c>
      <c r="M15" s="7"/>
      <c r="N15" s="7"/>
      <c r="O15" s="7"/>
      <c r="P15" s="7" t="s">
        <v>45</v>
      </c>
      <c r="Q15" s="7"/>
    </row>
    <row r="16" customFormat="false" ht="35.05" hidden="false" customHeight="false" outlineLevel="0" collapsed="false">
      <c r="A16" s="6" t="s">
        <v>152</v>
      </c>
      <c r="B16" s="6" t="s">
        <v>153</v>
      </c>
      <c r="C16" s="6" t="s">
        <v>154</v>
      </c>
      <c r="D16" s="6" t="s">
        <v>155</v>
      </c>
      <c r="E16" s="6" t="s">
        <v>149</v>
      </c>
      <c r="F16" s="6"/>
      <c r="G16" s="6" t="s">
        <v>91</v>
      </c>
      <c r="H16" s="6" t="s">
        <v>141</v>
      </c>
      <c r="I16" s="6" t="s">
        <v>156</v>
      </c>
      <c r="J16" s="6" t="s">
        <v>143</v>
      </c>
      <c r="K16" s="6" t="s">
        <v>59</v>
      </c>
      <c r="L16" s="6" t="s">
        <v>157</v>
      </c>
      <c r="M16" s="7"/>
      <c r="N16" s="7"/>
      <c r="O16" s="7"/>
      <c r="P16" s="7" t="s">
        <v>45</v>
      </c>
      <c r="Q16" s="7"/>
    </row>
    <row r="17" customFormat="false" ht="46.25" hidden="false" customHeight="false" outlineLevel="0" collapsed="false">
      <c r="A17" s="6" t="s">
        <v>158</v>
      </c>
      <c r="B17" s="6" t="s">
        <v>159</v>
      </c>
      <c r="C17" s="6" t="s">
        <v>158</v>
      </c>
      <c r="D17" s="6" t="s">
        <v>158</v>
      </c>
      <c r="E17" s="6" t="s">
        <v>160</v>
      </c>
      <c r="F17" s="6"/>
      <c r="G17" s="6" t="s">
        <v>91</v>
      </c>
      <c r="H17" s="6" t="s">
        <v>141</v>
      </c>
      <c r="I17" s="6" t="s">
        <v>161</v>
      </c>
      <c r="J17" s="6" t="s">
        <v>162</v>
      </c>
      <c r="K17" s="6" t="s">
        <v>163</v>
      </c>
      <c r="L17" s="6" t="s">
        <v>164</v>
      </c>
      <c r="M17" s="7"/>
      <c r="N17" s="7"/>
      <c r="O17" s="7"/>
      <c r="P17" s="7" t="s">
        <v>45</v>
      </c>
      <c r="Q17" s="7"/>
    </row>
    <row r="18" customFormat="false" ht="46.25" hidden="false" customHeight="false" outlineLevel="0" collapsed="false">
      <c r="A18" s="6" t="s">
        <v>165</v>
      </c>
      <c r="B18" s="6" t="s">
        <v>166</v>
      </c>
      <c r="C18" s="6" t="s">
        <v>165</v>
      </c>
      <c r="D18" s="6" t="s">
        <v>165</v>
      </c>
      <c r="E18" s="6" t="s">
        <v>167</v>
      </c>
      <c r="F18" s="6"/>
      <c r="G18" s="6" t="s">
        <v>91</v>
      </c>
      <c r="H18" s="6" t="s">
        <v>168</v>
      </c>
      <c r="I18" s="6" t="s">
        <v>169</v>
      </c>
      <c r="J18" s="6" t="s">
        <v>143</v>
      </c>
      <c r="K18" s="6" t="s">
        <v>59</v>
      </c>
      <c r="L18" s="6" t="s">
        <v>170</v>
      </c>
      <c r="M18" s="7"/>
      <c r="N18" s="7"/>
      <c r="O18" s="7"/>
      <c r="P18" s="7" t="s">
        <v>45</v>
      </c>
      <c r="Q18" s="7"/>
    </row>
    <row r="19" customFormat="false" ht="35.05" hidden="false" customHeight="false" outlineLevel="0" collapsed="false">
      <c r="A19" s="6" t="s">
        <v>171</v>
      </c>
      <c r="B19" s="6" t="s">
        <v>172</v>
      </c>
      <c r="C19" s="6" t="s">
        <v>171</v>
      </c>
      <c r="D19" s="6" t="s">
        <v>171</v>
      </c>
      <c r="E19" s="6" t="s">
        <v>173</v>
      </c>
      <c r="F19" s="6"/>
      <c r="G19" s="6" t="s">
        <v>91</v>
      </c>
      <c r="H19" s="6" t="s">
        <v>174</v>
      </c>
      <c r="I19" s="6" t="s">
        <v>175</v>
      </c>
      <c r="J19" s="6" t="s">
        <v>176</v>
      </c>
      <c r="K19" s="6" t="s">
        <v>177</v>
      </c>
      <c r="L19" s="6" t="s">
        <v>178</v>
      </c>
      <c r="M19" s="7"/>
      <c r="N19" s="7"/>
      <c r="O19" s="7"/>
      <c r="P19" s="7" t="s">
        <v>45</v>
      </c>
      <c r="Q19" s="7"/>
    </row>
    <row r="20" customFormat="false" ht="57.45" hidden="false" customHeight="false" outlineLevel="0" collapsed="false">
      <c r="A20" s="6" t="s">
        <v>179</v>
      </c>
      <c r="B20" s="6" t="s">
        <v>180</v>
      </c>
      <c r="C20" s="6" t="s">
        <v>181</v>
      </c>
      <c r="D20" s="6" t="s">
        <v>182</v>
      </c>
      <c r="E20" s="6" t="s">
        <v>183</v>
      </c>
      <c r="F20" s="6" t="s">
        <v>184</v>
      </c>
      <c r="G20" s="6" t="s">
        <v>91</v>
      </c>
      <c r="H20" s="6" t="s">
        <v>185</v>
      </c>
      <c r="I20" s="6" t="s">
        <v>186</v>
      </c>
      <c r="J20" s="6" t="s">
        <v>143</v>
      </c>
      <c r="K20" s="6" t="s">
        <v>59</v>
      </c>
      <c r="L20" s="6" t="s">
        <v>187</v>
      </c>
      <c r="M20" s="7"/>
      <c r="N20" s="7"/>
      <c r="O20" s="7"/>
      <c r="P20" s="7" t="s">
        <v>45</v>
      </c>
      <c r="Q20" s="7"/>
    </row>
    <row r="21" customFormat="false" ht="23.85" hidden="false" customHeight="false" outlineLevel="0" collapsed="false">
      <c r="A21" s="6" t="s">
        <v>188</v>
      </c>
      <c r="B21" s="6" t="s">
        <v>189</v>
      </c>
      <c r="C21" s="6" t="s">
        <v>188</v>
      </c>
      <c r="D21" s="6" t="s">
        <v>188</v>
      </c>
      <c r="E21" s="6" t="s">
        <v>190</v>
      </c>
      <c r="F21" s="6"/>
      <c r="G21" s="6" t="s">
        <v>91</v>
      </c>
      <c r="H21" s="6" t="s">
        <v>141</v>
      </c>
      <c r="I21" s="6" t="s">
        <v>191</v>
      </c>
      <c r="J21" s="6" t="s">
        <v>143</v>
      </c>
      <c r="K21" s="6" t="s">
        <v>59</v>
      </c>
      <c r="L21" s="6" t="s">
        <v>192</v>
      </c>
      <c r="M21" s="7"/>
      <c r="N21" s="7"/>
      <c r="O21" s="7"/>
      <c r="P21" s="7" t="s">
        <v>45</v>
      </c>
      <c r="Q21" s="7"/>
    </row>
    <row r="22" customFormat="false" ht="35.05" hidden="false" customHeight="false" outlineLevel="0" collapsed="false">
      <c r="A22" s="6" t="s">
        <v>193</v>
      </c>
      <c r="B22" s="6" t="s">
        <v>194</v>
      </c>
      <c r="C22" s="6" t="s">
        <v>193</v>
      </c>
      <c r="D22" s="6" t="s">
        <v>193</v>
      </c>
      <c r="E22" s="6" t="s">
        <v>195</v>
      </c>
      <c r="F22" s="6"/>
      <c r="G22" s="6" t="s">
        <v>91</v>
      </c>
      <c r="H22" s="6" t="s">
        <v>141</v>
      </c>
      <c r="I22" s="6" t="s">
        <v>196</v>
      </c>
      <c r="J22" s="6" t="s">
        <v>143</v>
      </c>
      <c r="K22" s="6" t="s">
        <v>59</v>
      </c>
      <c r="L22" s="6" t="s">
        <v>197</v>
      </c>
      <c r="M22" s="7"/>
      <c r="N22" s="7"/>
      <c r="O22" s="7"/>
      <c r="P22" s="7" t="s">
        <v>45</v>
      </c>
      <c r="Q22" s="7"/>
    </row>
    <row r="23" customFormat="false" ht="23.85" hidden="false" customHeight="false" outlineLevel="0" collapsed="false">
      <c r="A23" s="6" t="s">
        <v>198</v>
      </c>
      <c r="B23" s="6" t="s">
        <v>199</v>
      </c>
      <c r="C23" s="6" t="s">
        <v>198</v>
      </c>
      <c r="D23" s="6" t="s">
        <v>198</v>
      </c>
      <c r="E23" s="6" t="s">
        <v>200</v>
      </c>
      <c r="F23" s="6"/>
      <c r="G23" s="6" t="s">
        <v>91</v>
      </c>
      <c r="H23" s="6" t="s">
        <v>201</v>
      </c>
      <c r="I23" s="6" t="s">
        <v>202</v>
      </c>
      <c r="J23" s="6" t="s">
        <v>136</v>
      </c>
      <c r="K23" s="6" t="s">
        <v>95</v>
      </c>
      <c r="L23" s="6" t="s">
        <v>203</v>
      </c>
      <c r="M23" s="7"/>
      <c r="N23" s="7"/>
      <c r="O23" s="7"/>
      <c r="P23" s="7" t="s">
        <v>45</v>
      </c>
      <c r="Q23" s="7"/>
    </row>
    <row r="24" customFormat="false" ht="23.85" hidden="false" customHeight="false" outlineLevel="0" collapsed="false">
      <c r="A24" s="6" t="s">
        <v>204</v>
      </c>
      <c r="B24" s="6" t="s">
        <v>205</v>
      </c>
      <c r="C24" s="6" t="s">
        <v>204</v>
      </c>
      <c r="D24" s="6" t="s">
        <v>204</v>
      </c>
      <c r="E24" s="6" t="s">
        <v>206</v>
      </c>
      <c r="F24" s="6"/>
      <c r="G24" s="6" t="s">
        <v>45</v>
      </c>
      <c r="H24" s="6" t="s">
        <v>207</v>
      </c>
      <c r="I24" s="6" t="s">
        <v>208</v>
      </c>
      <c r="J24" s="6" t="s">
        <v>209</v>
      </c>
      <c r="K24" s="6" t="s">
        <v>59</v>
      </c>
      <c r="L24" s="6" t="s">
        <v>210</v>
      </c>
      <c r="M24" s="7"/>
      <c r="N24" s="7"/>
      <c r="O24" s="7"/>
      <c r="P24" s="7" t="s">
        <v>45</v>
      </c>
      <c r="Q24" s="7"/>
    </row>
    <row r="25" customFormat="false" ht="23.85" hidden="false" customHeight="false" outlineLevel="0" collapsed="false">
      <c r="A25" s="6" t="s">
        <v>211</v>
      </c>
      <c r="B25" s="6" t="s">
        <v>212</v>
      </c>
      <c r="C25" s="6" t="s">
        <v>211</v>
      </c>
      <c r="D25" s="6" t="s">
        <v>211</v>
      </c>
      <c r="E25" s="6" t="s">
        <v>213</v>
      </c>
      <c r="F25" s="6"/>
      <c r="G25" s="6" t="s">
        <v>45</v>
      </c>
      <c r="H25" s="6" t="s">
        <v>214</v>
      </c>
      <c r="I25" s="6" t="s">
        <v>215</v>
      </c>
      <c r="J25" s="6" t="s">
        <v>216</v>
      </c>
      <c r="K25" s="6" t="s">
        <v>217</v>
      </c>
      <c r="L25" s="6" t="s">
        <v>218</v>
      </c>
      <c r="M25" s="7"/>
      <c r="N25" s="7"/>
      <c r="O25" s="7"/>
      <c r="P25" s="7" t="s">
        <v>45</v>
      </c>
      <c r="Q25" s="7"/>
    </row>
    <row r="26" customFormat="false" ht="23.85" hidden="false" customHeight="false" outlineLevel="0" collapsed="false">
      <c r="A26" s="6" t="s">
        <v>219</v>
      </c>
      <c r="B26" s="6" t="s">
        <v>220</v>
      </c>
      <c r="C26" s="6" t="s">
        <v>219</v>
      </c>
      <c r="D26" s="6" t="s">
        <v>219</v>
      </c>
      <c r="E26" s="6" t="s">
        <v>213</v>
      </c>
      <c r="F26" s="6"/>
      <c r="G26" s="6" t="s">
        <v>45</v>
      </c>
      <c r="H26" s="6" t="s">
        <v>214</v>
      </c>
      <c r="I26" s="6" t="s">
        <v>215</v>
      </c>
      <c r="J26" s="6" t="s">
        <v>221</v>
      </c>
      <c r="K26" s="6" t="s">
        <v>217</v>
      </c>
      <c r="L26" s="6" t="s">
        <v>222</v>
      </c>
      <c r="M26" s="7"/>
      <c r="N26" s="7"/>
      <c r="O26" s="7"/>
      <c r="P26" s="7" t="s">
        <v>45</v>
      </c>
      <c r="Q26" s="7"/>
    </row>
    <row r="27" customFormat="false" ht="35.05" hidden="false" customHeight="false" outlineLevel="0" collapsed="false">
      <c r="A27" s="6" t="s">
        <v>223</v>
      </c>
      <c r="B27" s="6" t="s">
        <v>224</v>
      </c>
      <c r="C27" s="6" t="s">
        <v>225</v>
      </c>
      <c r="D27" s="6" t="s">
        <v>226</v>
      </c>
      <c r="E27" s="6" t="s">
        <v>227</v>
      </c>
      <c r="F27" s="6"/>
      <c r="G27" s="6" t="s">
        <v>45</v>
      </c>
      <c r="H27" s="6" t="s">
        <v>228</v>
      </c>
      <c r="I27" s="6" t="s">
        <v>229</v>
      </c>
      <c r="J27" s="6" t="s">
        <v>230</v>
      </c>
      <c r="K27" s="6" t="s">
        <v>231</v>
      </c>
      <c r="L27" s="6"/>
      <c r="M27" s="7"/>
      <c r="N27" s="7"/>
      <c r="O27" s="7"/>
      <c r="P27" s="7" t="s">
        <v>45</v>
      </c>
      <c r="Q27" s="7"/>
    </row>
    <row r="28" customFormat="false" ht="23.85" hidden="false" customHeight="false" outlineLevel="0" collapsed="false">
      <c r="A28" s="6" t="s">
        <v>232</v>
      </c>
      <c r="B28" s="6" t="s">
        <v>233</v>
      </c>
      <c r="C28" s="6" t="s">
        <v>234</v>
      </c>
      <c r="D28" s="6" t="s">
        <v>232</v>
      </c>
      <c r="E28" s="6" t="s">
        <v>235</v>
      </c>
      <c r="F28" s="6"/>
      <c r="G28" s="6" t="s">
        <v>45</v>
      </c>
      <c r="H28" s="6" t="s">
        <v>236</v>
      </c>
      <c r="I28" s="6" t="s">
        <v>237</v>
      </c>
      <c r="J28" s="6" t="s">
        <v>238</v>
      </c>
      <c r="K28" s="6" t="s">
        <v>59</v>
      </c>
      <c r="L28" s="6"/>
      <c r="M28" s="7"/>
      <c r="N28" s="7"/>
      <c r="O28" s="7"/>
      <c r="P28" s="7" t="s">
        <v>45</v>
      </c>
      <c r="Q28" s="7"/>
    </row>
    <row r="29" customFormat="false" ht="23.85" hidden="false" customHeight="false" outlineLevel="0" collapsed="false">
      <c r="A29" s="6" t="s">
        <v>239</v>
      </c>
      <c r="B29" s="6" t="s">
        <v>240</v>
      </c>
      <c r="C29" s="6" t="s">
        <v>241</v>
      </c>
      <c r="D29" s="6" t="s">
        <v>239</v>
      </c>
      <c r="E29" s="6" t="s">
        <v>242</v>
      </c>
      <c r="F29" s="6"/>
      <c r="G29" s="6" t="s">
        <v>45</v>
      </c>
      <c r="H29" s="6" t="s">
        <v>243</v>
      </c>
      <c r="I29" s="6" t="s">
        <v>244</v>
      </c>
      <c r="J29" s="6" t="s">
        <v>245</v>
      </c>
      <c r="K29" s="6" t="s">
        <v>59</v>
      </c>
      <c r="L29" s="6"/>
      <c r="M29" s="7"/>
      <c r="N29" s="7"/>
      <c r="O29" s="7"/>
      <c r="P29" s="7" t="s">
        <v>45</v>
      </c>
      <c r="Q29" s="7"/>
    </row>
    <row r="30" customFormat="false" ht="23.85" hidden="false" customHeight="false" outlineLevel="0" collapsed="false">
      <c r="A30" s="6" t="s">
        <v>246</v>
      </c>
      <c r="B30" s="6" t="s">
        <v>247</v>
      </c>
      <c r="C30" s="6" t="s">
        <v>246</v>
      </c>
      <c r="D30" s="6" t="s">
        <v>246</v>
      </c>
      <c r="E30" s="6" t="s">
        <v>248</v>
      </c>
      <c r="F30" s="6"/>
      <c r="G30" s="6" t="s">
        <v>45</v>
      </c>
      <c r="H30" s="6" t="s">
        <v>249</v>
      </c>
      <c r="I30" s="6" t="s">
        <v>250</v>
      </c>
      <c r="J30" s="6" t="s">
        <v>136</v>
      </c>
      <c r="K30" s="6" t="s">
        <v>59</v>
      </c>
      <c r="L30" s="6" t="s">
        <v>251</v>
      </c>
      <c r="M30" s="7"/>
      <c r="N30" s="7"/>
      <c r="O30" s="7"/>
      <c r="P30" s="7" t="s">
        <v>45</v>
      </c>
      <c r="Q30" s="7"/>
    </row>
    <row r="31" customFormat="false" ht="23.85" hidden="false" customHeight="false" outlineLevel="0" collapsed="false">
      <c r="A31" s="6" t="s">
        <v>252</v>
      </c>
      <c r="B31" s="6" t="s">
        <v>253</v>
      </c>
      <c r="C31" s="6" t="s">
        <v>252</v>
      </c>
      <c r="D31" s="6" t="s">
        <v>252</v>
      </c>
      <c r="E31" s="6" t="s">
        <v>254</v>
      </c>
      <c r="F31" s="6"/>
      <c r="G31" s="6" t="s">
        <v>45</v>
      </c>
      <c r="H31" s="6" t="s">
        <v>255</v>
      </c>
      <c r="I31" s="6" t="s">
        <v>256</v>
      </c>
      <c r="J31" s="6" t="s">
        <v>257</v>
      </c>
      <c r="K31" s="6" t="s">
        <v>59</v>
      </c>
      <c r="L31" s="6" t="s">
        <v>258</v>
      </c>
      <c r="M31" s="7"/>
      <c r="N31" s="7"/>
      <c r="O31" s="7"/>
      <c r="P31" s="7" t="s">
        <v>45</v>
      </c>
      <c r="Q31" s="7"/>
    </row>
    <row r="32" customFormat="false" ht="23.85" hidden="false" customHeight="false" outlineLevel="0" collapsed="false">
      <c r="A32" s="6" t="s">
        <v>259</v>
      </c>
      <c r="B32" s="6" t="s">
        <v>260</v>
      </c>
      <c r="C32" s="6" t="s">
        <v>261</v>
      </c>
      <c r="D32" s="6" t="s">
        <v>262</v>
      </c>
      <c r="E32" s="6" t="s">
        <v>263</v>
      </c>
      <c r="F32" s="6"/>
      <c r="G32" s="6" t="s">
        <v>45</v>
      </c>
      <c r="H32" s="6" t="s">
        <v>264</v>
      </c>
      <c r="I32" s="6" t="s">
        <v>265</v>
      </c>
      <c r="J32" s="6" t="s">
        <v>58</v>
      </c>
      <c r="K32" s="6" t="s">
        <v>59</v>
      </c>
      <c r="L32" s="6" t="s">
        <v>266</v>
      </c>
      <c r="M32" s="7"/>
      <c r="N32" s="7"/>
      <c r="O32" s="7"/>
      <c r="P32" s="7" t="s">
        <v>45</v>
      </c>
      <c r="Q32" s="7"/>
    </row>
    <row r="33" customFormat="false" ht="23.85" hidden="false" customHeight="false" outlineLevel="0" collapsed="false">
      <c r="A33" s="6" t="s">
        <v>267</v>
      </c>
      <c r="B33" s="6" t="s">
        <v>268</v>
      </c>
      <c r="C33" s="6" t="s">
        <v>267</v>
      </c>
      <c r="D33" s="6" t="s">
        <v>267</v>
      </c>
      <c r="E33" s="6" t="s">
        <v>269</v>
      </c>
      <c r="F33" s="6"/>
      <c r="G33" s="6" t="s">
        <v>91</v>
      </c>
      <c r="H33" s="6" t="s">
        <v>270</v>
      </c>
      <c r="I33" s="6" t="s">
        <v>271</v>
      </c>
      <c r="J33" s="6" t="s">
        <v>272</v>
      </c>
      <c r="K33" s="6" t="s">
        <v>59</v>
      </c>
      <c r="L33" s="6" t="s">
        <v>273</v>
      </c>
      <c r="M33" s="7"/>
      <c r="N33" s="7"/>
      <c r="O33" s="7"/>
      <c r="P33" s="7" t="s">
        <v>45</v>
      </c>
      <c r="Q33" s="7"/>
    </row>
    <row r="34" customFormat="false" ht="23.85" hidden="false" customHeight="false" outlineLevel="0" collapsed="false">
      <c r="A34" s="6" t="s">
        <v>274</v>
      </c>
      <c r="B34" s="6" t="s">
        <v>275</v>
      </c>
      <c r="C34" s="6" t="s">
        <v>274</v>
      </c>
      <c r="D34" s="6" t="s">
        <v>274</v>
      </c>
      <c r="E34" s="6" t="s">
        <v>276</v>
      </c>
      <c r="F34" s="6"/>
      <c r="G34" s="6" t="s">
        <v>45</v>
      </c>
      <c r="H34" s="6" t="s">
        <v>277</v>
      </c>
      <c r="I34" s="6" t="s">
        <v>278</v>
      </c>
      <c r="J34" s="6" t="s">
        <v>279</v>
      </c>
      <c r="K34" s="6" t="s">
        <v>59</v>
      </c>
      <c r="L34" s="6" t="s">
        <v>280</v>
      </c>
      <c r="M34" s="7"/>
      <c r="N34" s="7"/>
      <c r="O34" s="7"/>
      <c r="P34" s="7" t="s">
        <v>45</v>
      </c>
      <c r="Q34" s="7"/>
    </row>
    <row r="35" customFormat="false" ht="23.85" hidden="false" customHeight="false" outlineLevel="0" collapsed="false">
      <c r="A35" s="6" t="s">
        <v>281</v>
      </c>
      <c r="B35" s="6" t="s">
        <v>282</v>
      </c>
      <c r="C35" s="6" t="s">
        <v>281</v>
      </c>
      <c r="D35" s="6" t="s">
        <v>281</v>
      </c>
      <c r="E35" s="6" t="s">
        <v>283</v>
      </c>
      <c r="F35" s="6"/>
      <c r="G35" s="6" t="s">
        <v>45</v>
      </c>
      <c r="H35" s="6" t="s">
        <v>277</v>
      </c>
      <c r="I35" s="6" t="s">
        <v>284</v>
      </c>
      <c r="J35" s="6" t="s">
        <v>279</v>
      </c>
      <c r="K35" s="6" t="s">
        <v>59</v>
      </c>
      <c r="L35" s="6" t="s">
        <v>285</v>
      </c>
      <c r="M35" s="7"/>
      <c r="N35" s="7"/>
      <c r="O35" s="7"/>
      <c r="P35" s="7" t="s">
        <v>45</v>
      </c>
      <c r="Q35" s="7"/>
    </row>
    <row r="36" customFormat="false" ht="23.85" hidden="false" customHeight="false" outlineLevel="0" collapsed="false">
      <c r="A36" s="6" t="s">
        <v>286</v>
      </c>
      <c r="B36" s="6" t="s">
        <v>287</v>
      </c>
      <c r="C36" s="6" t="s">
        <v>288</v>
      </c>
      <c r="D36" s="6" t="s">
        <v>286</v>
      </c>
      <c r="E36" s="6" t="s">
        <v>289</v>
      </c>
      <c r="F36" s="6" t="s">
        <v>90</v>
      </c>
      <c r="G36" s="6" t="s">
        <v>45</v>
      </c>
      <c r="H36" s="6" t="s">
        <v>290</v>
      </c>
      <c r="I36" s="6" t="s">
        <v>291</v>
      </c>
      <c r="J36" s="6" t="s">
        <v>292</v>
      </c>
      <c r="K36" s="6" t="s">
        <v>59</v>
      </c>
      <c r="L36" s="6" t="s">
        <v>293</v>
      </c>
      <c r="M36" s="7"/>
      <c r="N36" s="7"/>
      <c r="O36" s="7"/>
      <c r="P36" s="7" t="s">
        <v>45</v>
      </c>
      <c r="Q36" s="7"/>
    </row>
    <row r="37" customFormat="false" ht="23.85" hidden="false" customHeight="false" outlineLevel="0" collapsed="false">
      <c r="A37" s="6" t="s">
        <v>294</v>
      </c>
      <c r="B37" s="6" t="s">
        <v>295</v>
      </c>
      <c r="C37" s="6" t="s">
        <v>294</v>
      </c>
      <c r="D37" s="6" t="s">
        <v>294</v>
      </c>
      <c r="E37" s="6" t="s">
        <v>289</v>
      </c>
      <c r="F37" s="6" t="s">
        <v>90</v>
      </c>
      <c r="G37" s="6" t="s">
        <v>45</v>
      </c>
      <c r="H37" s="6" t="s">
        <v>296</v>
      </c>
      <c r="I37" s="6" t="s">
        <v>297</v>
      </c>
      <c r="J37" s="6" t="s">
        <v>298</v>
      </c>
      <c r="K37" s="6" t="s">
        <v>59</v>
      </c>
      <c r="L37" s="6" t="s">
        <v>299</v>
      </c>
      <c r="M37" s="7"/>
      <c r="N37" s="7"/>
      <c r="O37" s="7"/>
      <c r="P37" s="7" t="s">
        <v>45</v>
      </c>
      <c r="Q37" s="7"/>
    </row>
    <row r="38" customFormat="false" ht="35.05" hidden="false" customHeight="false" outlineLevel="0" collapsed="false">
      <c r="A38" s="6" t="s">
        <v>300</v>
      </c>
      <c r="B38" s="6" t="s">
        <v>301</v>
      </c>
      <c r="C38" s="6" t="s">
        <v>302</v>
      </c>
      <c r="D38" s="6" t="s">
        <v>300</v>
      </c>
      <c r="E38" s="6" t="s">
        <v>303</v>
      </c>
      <c r="F38" s="6"/>
      <c r="G38" s="6" t="s">
        <v>91</v>
      </c>
      <c r="H38" s="6" t="s">
        <v>304</v>
      </c>
      <c r="I38" s="6" t="s">
        <v>305</v>
      </c>
      <c r="J38" s="6" t="s">
        <v>306</v>
      </c>
      <c r="K38" s="6" t="s">
        <v>307</v>
      </c>
      <c r="L38" s="6" t="s">
        <v>308</v>
      </c>
      <c r="M38" s="7"/>
      <c r="N38" s="7"/>
      <c r="O38" s="7"/>
      <c r="P38" s="7" t="s">
        <v>45</v>
      </c>
      <c r="Q38" s="7"/>
    </row>
    <row r="39" customFormat="false" ht="35.05" hidden="false" customHeight="false" outlineLevel="0" collapsed="false">
      <c r="A39" s="6" t="s">
        <v>309</v>
      </c>
      <c r="B39" s="6" t="s">
        <v>310</v>
      </c>
      <c r="C39" s="6" t="s">
        <v>309</v>
      </c>
      <c r="D39" s="6" t="s">
        <v>309</v>
      </c>
      <c r="E39" s="6" t="s">
        <v>311</v>
      </c>
      <c r="F39" s="6"/>
      <c r="G39" s="6" t="s">
        <v>91</v>
      </c>
      <c r="H39" s="6" t="s">
        <v>312</v>
      </c>
      <c r="I39" s="6" t="s">
        <v>313</v>
      </c>
      <c r="J39" s="6" t="s">
        <v>136</v>
      </c>
      <c r="K39" s="6" t="s">
        <v>59</v>
      </c>
      <c r="L39" s="6" t="s">
        <v>314</v>
      </c>
      <c r="M39" s="7"/>
      <c r="N39" s="7"/>
      <c r="O39" s="7"/>
      <c r="P39" s="7" t="s">
        <v>45</v>
      </c>
      <c r="Q39" s="7"/>
    </row>
    <row r="40" customFormat="false" ht="35.05" hidden="false" customHeight="false" outlineLevel="0" collapsed="false">
      <c r="A40" s="6" t="s">
        <v>315</v>
      </c>
      <c r="B40" s="6" t="s">
        <v>316</v>
      </c>
      <c r="C40" s="6" t="s">
        <v>315</v>
      </c>
      <c r="D40" s="6" t="s">
        <v>315</v>
      </c>
      <c r="E40" s="6" t="s">
        <v>317</v>
      </c>
      <c r="F40" s="6"/>
      <c r="G40" s="6" t="s">
        <v>91</v>
      </c>
      <c r="H40" s="6" t="s">
        <v>318</v>
      </c>
      <c r="I40" s="6" t="s">
        <v>319</v>
      </c>
      <c r="J40" s="6" t="s">
        <v>136</v>
      </c>
      <c r="K40" s="6" t="s">
        <v>59</v>
      </c>
      <c r="L40" s="6" t="s">
        <v>320</v>
      </c>
      <c r="M40" s="7"/>
      <c r="N40" s="7"/>
      <c r="O40" s="7"/>
      <c r="P40" s="7" t="s">
        <v>45</v>
      </c>
      <c r="Q40" s="7"/>
    </row>
    <row r="41" customFormat="false" ht="35.05" hidden="false" customHeight="false" outlineLevel="0" collapsed="false">
      <c r="A41" s="6" t="s">
        <v>321</v>
      </c>
      <c r="B41" s="6" t="s">
        <v>322</v>
      </c>
      <c r="C41" s="6" t="s">
        <v>323</v>
      </c>
      <c r="D41" s="6" t="s">
        <v>324</v>
      </c>
      <c r="E41" s="6" t="s">
        <v>325</v>
      </c>
      <c r="F41" s="6"/>
      <c r="G41" s="6" t="s">
        <v>45</v>
      </c>
      <c r="H41" s="6" t="s">
        <v>326</v>
      </c>
      <c r="I41" s="6" t="s">
        <v>327</v>
      </c>
      <c r="J41" s="6" t="s">
        <v>328</v>
      </c>
      <c r="K41" s="6" t="s">
        <v>329</v>
      </c>
      <c r="L41" s="6"/>
      <c r="M41" s="7"/>
      <c r="N41" s="7"/>
      <c r="O41" s="7"/>
      <c r="P41" s="7" t="s">
        <v>45</v>
      </c>
      <c r="Q41" s="7"/>
    </row>
    <row r="42" customFormat="false" ht="23.85" hidden="false" customHeight="false" outlineLevel="0" collapsed="false">
      <c r="A42" s="6" t="s">
        <v>330</v>
      </c>
      <c r="B42" s="6" t="s">
        <v>331</v>
      </c>
      <c r="C42" s="6" t="s">
        <v>332</v>
      </c>
      <c r="D42" s="6" t="s">
        <v>333</v>
      </c>
      <c r="E42" s="6" t="s">
        <v>334</v>
      </c>
      <c r="F42" s="6"/>
      <c r="G42" s="6" t="s">
        <v>45</v>
      </c>
      <c r="H42" s="6" t="s">
        <v>335</v>
      </c>
      <c r="I42" s="6" t="s">
        <v>336</v>
      </c>
      <c r="J42" s="6" t="s">
        <v>337</v>
      </c>
      <c r="K42" s="6" t="s">
        <v>338</v>
      </c>
      <c r="L42" s="6"/>
      <c r="M42" s="7"/>
      <c r="N42" s="7"/>
      <c r="O42" s="7"/>
      <c r="P42" s="7" t="s">
        <v>45</v>
      </c>
      <c r="Q42" s="7"/>
    </row>
    <row r="43" customFormat="false" ht="23.85" hidden="false" customHeight="false" outlineLevel="0" collapsed="false">
      <c r="A43" s="6" t="s">
        <v>339</v>
      </c>
      <c r="B43" s="6" t="s">
        <v>340</v>
      </c>
      <c r="C43" s="6" t="s">
        <v>341</v>
      </c>
      <c r="D43" s="6" t="s">
        <v>342</v>
      </c>
      <c r="E43" s="6" t="s">
        <v>334</v>
      </c>
      <c r="F43" s="6"/>
      <c r="G43" s="6" t="s">
        <v>45</v>
      </c>
      <c r="H43" s="6" t="s">
        <v>343</v>
      </c>
      <c r="I43" s="6" t="s">
        <v>344</v>
      </c>
      <c r="J43" s="6" t="s">
        <v>345</v>
      </c>
      <c r="K43" s="6" t="s">
        <v>346</v>
      </c>
      <c r="L43" s="6"/>
      <c r="M43" s="7"/>
      <c r="N43" s="7"/>
      <c r="O43" s="7"/>
      <c r="P43" s="7" t="s">
        <v>45</v>
      </c>
      <c r="Q43" s="7"/>
    </row>
    <row r="44" customFormat="false" ht="23.85" hidden="false" customHeight="false" outlineLevel="0" collapsed="false">
      <c r="A44" s="6" t="s">
        <v>347</v>
      </c>
      <c r="B44" s="6" t="s">
        <v>348</v>
      </c>
      <c r="C44" s="6" t="s">
        <v>349</v>
      </c>
      <c r="D44" s="6" t="s">
        <v>350</v>
      </c>
      <c r="E44" s="6" t="s">
        <v>334</v>
      </c>
      <c r="F44" s="6"/>
      <c r="G44" s="6" t="s">
        <v>45</v>
      </c>
      <c r="H44" s="6" t="s">
        <v>351</v>
      </c>
      <c r="I44" s="6" t="s">
        <v>352</v>
      </c>
      <c r="J44" s="6" t="s">
        <v>345</v>
      </c>
      <c r="K44" s="6" t="s">
        <v>353</v>
      </c>
      <c r="L44" s="6"/>
      <c r="M44" s="7"/>
      <c r="N44" s="7"/>
      <c r="O44" s="7"/>
      <c r="P44" s="7" t="s">
        <v>45</v>
      </c>
      <c r="Q44" s="7"/>
    </row>
  </sheetData>
  <autoFilter ref="A1:Q44"/>
  <dataValidations count="2">
    <dataValidation allowBlank="false" errorStyle="stop" operator="between" showDropDown="false" showErrorMessage="false" showInputMessage="false" sqref="P2:P44" type="list">
      <formula1>"Yes,No"</formula1>
      <formula2>0</formula2>
    </dataValidation>
    <dataValidation allowBlank="false" errorStyle="stop" operator="between" showDropDown="false" showErrorMessage="false" showInputMessage="false" sqref="G2:G4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2"/>
    <col collapsed="false" customWidth="true" hidden="false" outlineLevel="0" max="4" min="4" style="0" width="80"/>
    <col collapsed="false" customWidth="true" hidden="false" outlineLevel="0" max="5" min="5" style="0" width="11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8" t="s">
        <v>354</v>
      </c>
      <c r="B1" s="8" t="s">
        <v>355</v>
      </c>
      <c r="C1" s="8" t="s">
        <v>356</v>
      </c>
      <c r="D1" s="8" t="s">
        <v>357</v>
      </c>
      <c r="E1" s="8" t="s">
        <v>39</v>
      </c>
      <c r="F1" s="8" t="s">
        <v>40</v>
      </c>
    </row>
    <row r="2" customFormat="false" ht="23.85" hidden="false" customHeight="false" outlineLevel="0" collapsed="false">
      <c r="A2" s="6" t="s">
        <v>358</v>
      </c>
      <c r="B2" s="6" t="s">
        <v>358</v>
      </c>
      <c r="C2" s="6" t="s">
        <v>359</v>
      </c>
      <c r="D2" s="6" t="s">
        <v>360</v>
      </c>
      <c r="E2" s="7" t="s">
        <v>45</v>
      </c>
      <c r="F2" s="7"/>
    </row>
    <row r="3" customFormat="false" ht="23.85" hidden="false" customHeight="false" outlineLevel="0" collapsed="false">
      <c r="A3" s="6" t="s">
        <v>361</v>
      </c>
      <c r="B3" s="6" t="s">
        <v>361</v>
      </c>
      <c r="C3" s="6" t="s">
        <v>359</v>
      </c>
      <c r="D3" s="6" t="s">
        <v>362</v>
      </c>
      <c r="E3" s="7" t="s">
        <v>45</v>
      </c>
      <c r="F3" s="7"/>
    </row>
    <row r="4" customFormat="false" ht="23.85" hidden="false" customHeight="false" outlineLevel="0" collapsed="false">
      <c r="A4" s="6" t="s">
        <v>363</v>
      </c>
      <c r="B4" s="6" t="s">
        <v>363</v>
      </c>
      <c r="C4" s="6" t="s">
        <v>364</v>
      </c>
      <c r="D4" s="6" t="s">
        <v>365</v>
      </c>
      <c r="E4" s="7" t="s">
        <v>45</v>
      </c>
      <c r="F4" s="7"/>
    </row>
    <row r="5" customFormat="false" ht="23.85" hidden="false" customHeight="false" outlineLevel="0" collapsed="false">
      <c r="A5" s="6" t="s">
        <v>366</v>
      </c>
      <c r="B5" s="6" t="s">
        <v>366</v>
      </c>
      <c r="C5" s="6" t="s">
        <v>359</v>
      </c>
      <c r="D5" s="6" t="s">
        <v>367</v>
      </c>
      <c r="E5" s="7" t="s">
        <v>45</v>
      </c>
      <c r="F5" s="7"/>
    </row>
    <row r="6" customFormat="false" ht="15" hidden="false" customHeight="false" outlineLevel="0" collapsed="false">
      <c r="A6" s="6" t="s">
        <v>158</v>
      </c>
      <c r="B6" s="6" t="s">
        <v>239</v>
      </c>
      <c r="C6" s="6" t="s">
        <v>368</v>
      </c>
      <c r="D6" s="6" t="s">
        <v>369</v>
      </c>
      <c r="E6" s="7" t="s">
        <v>45</v>
      </c>
      <c r="F6" s="7"/>
    </row>
    <row r="7" customFormat="false" ht="15" hidden="false" customHeight="false" outlineLevel="0" collapsed="false">
      <c r="A7" s="6" t="s">
        <v>158</v>
      </c>
      <c r="B7" s="6" t="s">
        <v>321</v>
      </c>
      <c r="C7" s="6" t="s">
        <v>368</v>
      </c>
      <c r="D7" s="6" t="s">
        <v>370</v>
      </c>
      <c r="E7" s="7" t="s">
        <v>45</v>
      </c>
      <c r="F7" s="7"/>
    </row>
    <row r="8" customFormat="false" ht="15" hidden="false" customHeight="false" outlineLevel="0" collapsed="false">
      <c r="A8" s="6" t="s">
        <v>158</v>
      </c>
      <c r="B8" s="6" t="s">
        <v>232</v>
      </c>
      <c r="C8" s="6" t="s">
        <v>368</v>
      </c>
      <c r="D8" s="6" t="s">
        <v>371</v>
      </c>
      <c r="E8" s="7" t="s">
        <v>45</v>
      </c>
      <c r="F8" s="7"/>
    </row>
    <row r="9" customFormat="false" ht="15" hidden="false" customHeight="false" outlineLevel="0" collapsed="false">
      <c r="A9" s="6" t="s">
        <v>171</v>
      </c>
      <c r="B9" s="6" t="s">
        <v>239</v>
      </c>
      <c r="C9" s="6" t="s">
        <v>368</v>
      </c>
      <c r="D9" s="6" t="s">
        <v>372</v>
      </c>
      <c r="E9" s="7" t="s">
        <v>45</v>
      </c>
      <c r="F9" s="7"/>
    </row>
    <row r="10" customFormat="false" ht="15" hidden="false" customHeight="false" outlineLevel="0" collapsed="false">
      <c r="A10" s="6" t="s">
        <v>171</v>
      </c>
      <c r="B10" s="6" t="s">
        <v>321</v>
      </c>
      <c r="C10" s="6" t="s">
        <v>368</v>
      </c>
      <c r="D10" s="6" t="s">
        <v>373</v>
      </c>
      <c r="E10" s="7" t="s">
        <v>45</v>
      </c>
      <c r="F10" s="7"/>
    </row>
    <row r="11" customFormat="false" ht="15" hidden="false" customHeight="false" outlineLevel="0" collapsed="false">
      <c r="A11" s="6" t="s">
        <v>171</v>
      </c>
      <c r="B11" s="6" t="s">
        <v>232</v>
      </c>
      <c r="C11" s="6" t="s">
        <v>368</v>
      </c>
      <c r="D11" s="6" t="s">
        <v>374</v>
      </c>
      <c r="E11" s="7" t="s">
        <v>45</v>
      </c>
      <c r="F11" s="7"/>
    </row>
    <row r="12" customFormat="false" ht="15" hidden="false" customHeight="false" outlineLevel="0" collapsed="false">
      <c r="A12" s="6" t="s">
        <v>188</v>
      </c>
      <c r="B12" s="6" t="s">
        <v>239</v>
      </c>
      <c r="C12" s="6" t="s">
        <v>368</v>
      </c>
      <c r="D12" s="6" t="s">
        <v>375</v>
      </c>
      <c r="E12" s="7" t="s">
        <v>45</v>
      </c>
      <c r="F12" s="7"/>
    </row>
    <row r="13" customFormat="false" ht="23.85" hidden="false" customHeight="false" outlineLevel="0" collapsed="false">
      <c r="A13" s="6" t="s">
        <v>358</v>
      </c>
      <c r="B13" s="6" t="s">
        <v>309</v>
      </c>
      <c r="C13" s="6" t="s">
        <v>364</v>
      </c>
      <c r="D13" s="6" t="s">
        <v>376</v>
      </c>
      <c r="E13" s="7" t="s">
        <v>45</v>
      </c>
      <c r="F13" s="7"/>
    </row>
    <row r="14" customFormat="false" ht="15" hidden="false" customHeight="false" outlineLevel="0" collapsed="false">
      <c r="A14" s="6" t="s">
        <v>267</v>
      </c>
      <c r="B14" s="6" t="s">
        <v>259</v>
      </c>
      <c r="C14" s="6" t="s">
        <v>364</v>
      </c>
      <c r="D14" s="6" t="s">
        <v>377</v>
      </c>
      <c r="E14" s="7" t="s">
        <v>45</v>
      </c>
      <c r="F14" s="7"/>
    </row>
    <row r="15" customFormat="false" ht="15" hidden="false" customHeight="false" outlineLevel="0" collapsed="false">
      <c r="A15" s="6" t="s">
        <v>198</v>
      </c>
      <c r="B15" s="6" t="s">
        <v>309</v>
      </c>
      <c r="C15" s="6" t="s">
        <v>364</v>
      </c>
      <c r="D15" s="6" t="s">
        <v>378</v>
      </c>
      <c r="E15" s="7" t="s">
        <v>45</v>
      </c>
      <c r="F15" s="7"/>
    </row>
  </sheetData>
  <dataValidations count="1">
    <dataValidation allowBlank="false" errorStyle="stop" operator="between" showDropDown="false" showErrorMessage="false" showInputMessage="false" sqref="E2:E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2026-10-20T21:25:01Z</dcterms:created>
  <dc:creator>openpyxl</dc:creator>
  <dc:description/>
  <dc:language>en-US</dc:language>
  <cp:lastModifiedBy/>
  <dcterms:modified xsi:type="dcterms:W3CDTF">2026-10-20T21:25:01Z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